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ronglee/My Drive (krlee7001@gmail.com)/NUS (Acads Related)/AY2526 Sem 2/IT1244 TA/Tutorials/Tutorial 4/"/>
    </mc:Choice>
  </mc:AlternateContent>
  <xr:revisionPtr revIDLastSave="0" documentId="8_{B5F02DD6-A52D-6146-8C98-EBAD5C618951}" xr6:coauthVersionLast="47" xr6:coauthVersionMax="47" xr10:uidLastSave="{00000000-0000-0000-0000-000000000000}"/>
  <bookViews>
    <workbookView xWindow="1500" yWindow="1320" windowWidth="27640" windowHeight="16940" xr2:uid="{DAB6CBC6-FA8E-A540-A6EE-6B7D303B45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F3" i="1"/>
  <c r="P5" i="1" l="1"/>
  <c r="P6" i="1"/>
  <c r="P7" i="1"/>
  <c r="P8" i="1"/>
  <c r="O7" i="1"/>
  <c r="P17" i="1"/>
  <c r="O17" i="1"/>
  <c r="P15" i="1"/>
  <c r="O15" i="1"/>
  <c r="K17" i="1"/>
  <c r="J17" i="1"/>
  <c r="K15" i="1"/>
  <c r="J15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J5" i="1" l="1"/>
  <c r="U17" i="1"/>
  <c r="U12" i="1"/>
  <c r="U6" i="1"/>
  <c r="U10" i="1"/>
  <c r="U5" i="1"/>
  <c r="U9" i="1"/>
  <c r="U4" i="1"/>
  <c r="U8" i="1"/>
  <c r="U3" i="1"/>
  <c r="U7" i="1"/>
  <c r="U11" i="1"/>
  <c r="K10" i="1"/>
  <c r="O8" i="1"/>
  <c r="T12" i="1"/>
  <c r="T7" i="1"/>
  <c r="T11" i="1"/>
  <c r="T6" i="1"/>
  <c r="T10" i="1"/>
  <c r="T5" i="1"/>
  <c r="T9" i="1"/>
  <c r="T4" i="1"/>
  <c r="T8" i="1"/>
  <c r="T3" i="1"/>
  <c r="J6" i="1"/>
  <c r="K3" i="1"/>
  <c r="K6" i="1"/>
  <c r="K5" i="1"/>
  <c r="G15" i="1"/>
  <c r="K7" i="1"/>
  <c r="F15" i="1"/>
  <c r="J11" i="1"/>
  <c r="O9" i="1"/>
  <c r="J3" i="1"/>
  <c r="O3" i="1"/>
  <c r="T17" i="1"/>
  <c r="P3" i="1"/>
  <c r="P4" i="1"/>
  <c r="K11" i="1"/>
  <c r="J9" i="1"/>
  <c r="P12" i="1"/>
  <c r="J8" i="1"/>
  <c r="K9" i="1"/>
  <c r="O12" i="1"/>
  <c r="P11" i="1"/>
  <c r="J4" i="1"/>
  <c r="O6" i="1"/>
  <c r="K12" i="1"/>
  <c r="J10" i="1"/>
  <c r="J7" i="1"/>
  <c r="K8" i="1"/>
  <c r="O11" i="1"/>
  <c r="P10" i="1"/>
  <c r="K4" i="1"/>
  <c r="J12" i="1"/>
  <c r="O5" i="1"/>
  <c r="O4" i="1"/>
  <c r="O10" i="1"/>
  <c r="P9" i="1"/>
</calcChain>
</file>

<file path=xl/sharedStrings.xml><?xml version="1.0" encoding="utf-8"?>
<sst xmlns="http://schemas.openxmlformats.org/spreadsheetml/2006/main" count="43" uniqueCount="32">
  <si>
    <t>Data</t>
  </si>
  <si>
    <t>X1</t>
  </si>
  <si>
    <t>X2</t>
  </si>
  <si>
    <t>Y</t>
  </si>
  <si>
    <t>Euclidean</t>
  </si>
  <si>
    <t>x1</t>
  </si>
  <si>
    <t>x2</t>
  </si>
  <si>
    <t>Manhattan</t>
  </si>
  <si>
    <t>min_euc_dist</t>
  </si>
  <si>
    <t>min_mht_dist</t>
  </si>
  <si>
    <t>Standardised Data</t>
  </si>
  <si>
    <t>mean of X1</t>
  </si>
  <si>
    <t>mean of X2</t>
  </si>
  <si>
    <t>std of X1</t>
  </si>
  <si>
    <t>std of X2</t>
  </si>
  <si>
    <t>Normalized Data</t>
  </si>
  <si>
    <t>min of X1</t>
  </si>
  <si>
    <t>max of X2</t>
  </si>
  <si>
    <t>max of X1</t>
  </si>
  <si>
    <t>min of X2</t>
  </si>
  <si>
    <t>new_x1</t>
  </si>
  <si>
    <t>new_x2</t>
  </si>
  <si>
    <t>Question 2</t>
  </si>
  <si>
    <t>Question 3</t>
  </si>
  <si>
    <t>norm_new_x1</t>
  </si>
  <si>
    <t>norm_new_x2</t>
  </si>
  <si>
    <t xml:space="preserve">IMPORTANT: When scaling data, fit the scaler on training data only, then apply it to both training and test sets. </t>
  </si>
  <si>
    <t>If you calculate scaling parameters (min/max or mean/std) using test data, this is DATA LEAKAGE.</t>
  </si>
  <si>
    <t>Euclidean Distance (After Normalization!)</t>
  </si>
  <si>
    <t>Final Class = 1</t>
  </si>
  <si>
    <t>3 nearest neighbours:</t>
  </si>
  <si>
    <t>Question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</si>
</sst>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6"/>
      <color theme="1"/>
      <name val="Aptos Narrow (Body)"/>
    </font>
    <font>
      <b/>
      <sz val="26"/>
      <color theme="1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Aptos Narrow"/>
      <scheme val="minor"/>
    </font>
    <font>
      <b/>
      <sz val="12"/>
      <color rgb="FFFF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3" xfId="0" applyBorder="1"/>
    <xf numFmtId="0" fontId="5" fillId="0" borderId="3" xfId="0" applyFont="1" applyBorder="1" applyAlignment="1">
      <alignment horizontal="center"/>
    </xf>
    <xf numFmtId="0" fontId="0" fillId="3" borderId="3" xfId="0" applyFill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6" borderId="0" xfId="0" applyFill="1"/>
    <xf numFmtId="0" fontId="0" fillId="0" borderId="0" xfId="0" applyFill="1"/>
    <xf numFmtId="0" fontId="0" fillId="6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 applyAlignment="1"/>
    <xf numFmtId="0" fontId="3" fillId="3" borderId="5" xfId="0" applyFont="1" applyFill="1" applyBorder="1" applyAlignment="1">
      <alignment horizontal="center" vertical="center"/>
    </xf>
    <xf numFmtId="0" fontId="0" fillId="3" borderId="0" xfId="0" applyFill="1"/>
    <xf numFmtId="0" fontId="0" fillId="0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47948</xdr:colOff>
      <xdr:row>7</xdr:row>
      <xdr:rowOff>216263</xdr:rowOff>
    </xdr:from>
    <xdr:to>
      <xdr:col>24</xdr:col>
      <xdr:colOff>151268</xdr:colOff>
      <xdr:row>10</xdr:row>
      <xdr:rowOff>204135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3329984E-C7E3-1FA0-A2E7-0D52D22B36E6}"/>
                </a:ext>
              </a:extLst>
            </xdr14:cNvPr>
            <xdr14:cNvContentPartPr/>
          </xdr14:nvContentPartPr>
          <xdr14:nvPr macro=""/>
          <xdr14:xfrm>
            <a:off x="23877000" y="1733040"/>
            <a:ext cx="103320" cy="6379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3329984E-C7E3-1FA0-A2E7-0D52D22B36E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3870880" y="1726920"/>
              <a:ext cx="115560" cy="65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5T02:11:57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24575,'8'0'0,"3"0"0,-1 0 0,2 0 0,-2 0 0,-2 0 0,-1 3 0,-2 0 0,0 2 0,0 0 0,0 0 0,-1-1 0,-1 0 0,0 0 0,0 0 0,0 1 0,1 0 0,-1 0 0,1 0 0,1 1 0,0 1 0,0 0 0,0-1 0,2 1 0,-1 0 0,1 2 0,0 1 0,0 2 0,2 3 0,0 1 0,0 1 0,-1-2 0,-1 0 0,-2-2 0,-2-1 0,-2 0 0,-1 0 0,0-2 0,0-2 0,0 1 0,0 2 0,0 2 0,0 2 0,0-1 0,0 1 0,0 0 0,0 2 0,0 0 0,0-3 0,0 2 0,0-2 0,0 0 0,0 2 0,0 1 0,0 6 0,0 1 0,0 1 0,0 2 0,0-1 0,0 0 0,0-2 0,0-2 0,0 0 0,0-5 0,0 0 0,0-1 0,0 0 0,0 0 0,0 1 0,0-2 0,0 0 0,0 2 0,0-2 0,0 0 0,0-2 0,0-3 0,0-3 0,0 0 0,0-2 0,0 0 0,1 1 0,1 0 0,0 1 0,2 0 0,0-2 0,0 0 0,0 0 0,0 0 0,-1-2 0,0 0 0,2-1 0,-1 0 0,-1 0 0,1-1 0,-1 1 0,1-1 0,0 0 0,-1 0 0,1 1 0,-2-1 0,0 1 0,-3 0 0,-2 1 0,0 0 0,-1 0 0,1 1 0,0 1 0,-1 0 0,2 0 0,0 2 0,0-1 0,1 1 0,-1 0 0,1-2 0,1 1 0,0 1 0,0-2 0,0 0 0,-1 0 0,0 0 0,0 0 0,-1 2 0,2-1 0,0 1 0,0-1 0,-1-1 0,0 1 0,-1 1 0,1 2 0,1-1 0,-1 1 0,1-1 0,0 2 0,0 1 0,0 3 0,0 1 0,0 1 0,0 1 0,0-1 0,0 3 0,0-2 0,0 2 0,0 1 0,0-2 0,0-1 0,0-2 0,1-2 0,1-2 0,0-1 0,-1 0 0,-1-2 0,0 1 0,0-2 0,0-1 0,0 1 0,0-1 0,0 3 0,0-1 0,0 2 0,0-2 0,0-2 0,0 1 0,0-3 0,0 0 0,0 0 0,0 1 0,0-1 0,0 1 0,0 0 0,0 0 0,0 0 0,0 0 0,0 0 0,0 0 0,0 0 0,0-1 0,0 1 0,0 2 0,0 2 0,0 3 0,0-2 0,0 1 0,-1-3 0,0 0 0,-2 0 0,0-1 0,1 0 0,0-1 0,1-1 0,-1-1 0,0 0 0,1 0 0,0 1 0,-1-1 0,0 0 0,0-1 0,-1 1 0,0 1 0,0 0 0,0-1 0,-1 0 0,0-1 0,0 0 0,0 0 0,-1-2 0,1 0 0,0-1 0,0 0 0,-1 0 0,1 0 0,0 0 0,-1 0 0,0 0 0,0 0 0,0 0 0,1 1 0,0 0 0,2 0 0,1 0 0,0-2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0CA7-AD50-5D44-97C1-818F28061580}">
  <dimension ref="A1:AB25"/>
  <sheetViews>
    <sheetView tabSelected="1" zoomScale="214" zoomScaleNormal="190" workbookViewId="0">
      <selection activeCell="S21" sqref="S21:AA25"/>
    </sheetView>
  </sheetViews>
  <sheetFormatPr baseColWidth="10" defaultRowHeight="16" x14ac:dyDescent="0.2"/>
  <cols>
    <col min="6" max="6" width="14.1640625" customWidth="1"/>
    <col min="7" max="7" width="15" customWidth="1"/>
    <col min="8" max="8" width="10.83203125" style="20"/>
    <col min="9" max="9" width="7" customWidth="1"/>
    <col min="10" max="11" width="16.83203125" customWidth="1"/>
    <col min="13" max="13" width="10.83203125" style="21"/>
    <col min="14" max="14" width="7.5" customWidth="1"/>
    <col min="15" max="16" width="19.33203125" customWidth="1"/>
    <col min="17" max="17" width="14" customWidth="1"/>
    <col min="18" max="18" width="10.83203125" style="20"/>
    <col min="20" max="20" width="16.1640625" customWidth="1"/>
    <col min="21" max="21" width="18.33203125" customWidth="1"/>
    <col min="24" max="24" width="18.33203125" customWidth="1"/>
    <col min="25" max="25" width="20.83203125" customWidth="1"/>
    <col min="26" max="26" width="13.1640625" customWidth="1"/>
    <col min="28" max="28" width="10.83203125" style="20"/>
  </cols>
  <sheetData>
    <row r="1" spans="1:26" ht="17" thickBot="1" x14ac:dyDescent="0.25">
      <c r="B1" s="1" t="s">
        <v>0</v>
      </c>
      <c r="I1" s="14"/>
      <c r="J1" s="15" t="s">
        <v>10</v>
      </c>
      <c r="N1" s="14"/>
      <c r="O1" s="15" t="s">
        <v>15</v>
      </c>
      <c r="S1" s="14"/>
      <c r="T1" s="15" t="s">
        <v>15</v>
      </c>
      <c r="X1" s="30" t="s">
        <v>28</v>
      </c>
      <c r="Y1" s="30"/>
    </row>
    <row r="2" spans="1:26" ht="17" thickBot="1" x14ac:dyDescent="0.25">
      <c r="B2" s="2" t="s">
        <v>1</v>
      </c>
      <c r="C2" s="3" t="s">
        <v>2</v>
      </c>
      <c r="D2" s="3" t="s">
        <v>3</v>
      </c>
      <c r="F2" s="4" t="s">
        <v>4</v>
      </c>
      <c r="G2" s="10" t="s">
        <v>7</v>
      </c>
      <c r="J2" s="2" t="s">
        <v>1</v>
      </c>
      <c r="K2" s="3" t="s">
        <v>2</v>
      </c>
      <c r="L2" s="3" t="s">
        <v>3</v>
      </c>
      <c r="O2" s="2" t="s">
        <v>1</v>
      </c>
      <c r="P2" s="3" t="s">
        <v>2</v>
      </c>
      <c r="Q2" s="3" t="s">
        <v>3</v>
      </c>
      <c r="T2" s="2" t="s">
        <v>1</v>
      </c>
      <c r="U2" s="3" t="s">
        <v>2</v>
      </c>
      <c r="V2" s="3" t="s">
        <v>3</v>
      </c>
      <c r="X2" s="4" t="s">
        <v>4</v>
      </c>
    </row>
    <row r="3" spans="1:26" ht="17" thickBot="1" x14ac:dyDescent="0.25">
      <c r="A3">
        <v>1</v>
      </c>
      <c r="B3" s="5">
        <v>4.5199999999999996</v>
      </c>
      <c r="C3" s="6">
        <v>3.46</v>
      </c>
      <c r="D3" s="6">
        <v>0</v>
      </c>
      <c r="F3" s="13">
        <f>SQRT(($B3 - $B$15)^2 + ($C3 - $C$15)^2)</f>
        <v>1.1025878649794769</v>
      </c>
      <c r="G3" s="13">
        <f xml:space="preserve"> SUM(ABS($B3-$B$15), ABS($C3-$C$15))</f>
        <v>1.5500000000000007</v>
      </c>
      <c r="I3">
        <v>1</v>
      </c>
      <c r="J3" s="18">
        <f>($B3-$J$15)/$J$17</f>
        <v>-0.64427263774169652</v>
      </c>
      <c r="K3" s="19">
        <f>($C3-$K$15)/$K$17</f>
        <v>-0.54775856657856759</v>
      </c>
      <c r="L3" s="6">
        <v>0</v>
      </c>
      <c r="N3">
        <v>1</v>
      </c>
      <c r="O3" s="18">
        <f>($B3-$O$15)/($O$17-$O$15)</f>
        <v>0.26181353767560656</v>
      </c>
      <c r="P3" s="19">
        <f>($C3-$P$15)/($P$17-$P$15)</f>
        <v>0.39386189258312021</v>
      </c>
      <c r="Q3" s="6">
        <v>0</v>
      </c>
      <c r="S3">
        <v>1</v>
      </c>
      <c r="T3" s="18">
        <f>($B3-$O$15)/($O$17-$O$15)</f>
        <v>0.26181353767560656</v>
      </c>
      <c r="U3" s="19">
        <f>($C3-$P$15)/($P$17-$P$15)</f>
        <v>0.39386189258312021</v>
      </c>
      <c r="V3" s="6">
        <v>0</v>
      </c>
      <c r="X3" s="33">
        <f>SQRT(($T3 - $T$17)^2 + ($U3 - $U$17)^2)</f>
        <v>0.6274015967851283</v>
      </c>
    </row>
    <row r="4" spans="1:26" ht="17" thickBot="1" x14ac:dyDescent="0.25">
      <c r="A4">
        <v>2</v>
      </c>
      <c r="B4" s="5">
        <v>4.2300000000000004</v>
      </c>
      <c r="C4" s="6">
        <v>2.91</v>
      </c>
      <c r="D4" s="6">
        <v>0</v>
      </c>
      <c r="F4" s="11">
        <f t="shared" ref="F4:F12" si="0">SQRT(($B4 - $B$15)^2 + ($C4 - $C$15)^2)</f>
        <v>1.7171196813268432</v>
      </c>
      <c r="G4" s="11">
        <f t="shared" ref="G4:G12" si="1" xml:space="preserve"> SUM(ABS($B4-$B$15), ABS($C4-$C$15))</f>
        <v>2.3899999999999997</v>
      </c>
      <c r="I4">
        <v>2</v>
      </c>
      <c r="J4" s="18">
        <f t="shared" ref="J4:J12" si="2">(B4-$J$15)/$J$17</f>
        <v>-0.74906179362789471</v>
      </c>
      <c r="K4" s="19">
        <f t="shared" ref="K4:K12" si="3">($C4-$K$15)/$K$17</f>
        <v>-0.99875738636631062</v>
      </c>
      <c r="L4" s="6">
        <v>0</v>
      </c>
      <c r="N4">
        <v>2</v>
      </c>
      <c r="O4" s="18">
        <f t="shared" ref="O4:O12" si="4">($B4-$O$15)/($O$17-$O$15)</f>
        <v>0.22477650063856963</v>
      </c>
      <c r="P4" s="19">
        <f t="shared" ref="P4:P12" si="5">($C4-$P$15)/($P$17-$P$15)</f>
        <v>0.25319693094629159</v>
      </c>
      <c r="Q4" s="6">
        <v>0</v>
      </c>
      <c r="S4">
        <v>2</v>
      </c>
      <c r="T4" s="18">
        <f t="shared" ref="T4:T12" si="6">($B4-$O$15)/($O$17-$O$15)</f>
        <v>0.22477650063856963</v>
      </c>
      <c r="U4" s="19">
        <f t="shared" ref="U4:U12" si="7">($C4-$P$15)/($P$17-$P$15)</f>
        <v>0.25319693094629159</v>
      </c>
      <c r="V4" s="6">
        <v>0</v>
      </c>
      <c r="X4" s="33">
        <f t="shared" ref="X4:X12" si="8">SQRT(($T4 - $T$17)^2 + ($U4 - $U$17)^2)</f>
        <v>0.72303590006752017</v>
      </c>
    </row>
    <row r="5" spans="1:26" ht="17" thickBot="1" x14ac:dyDescent="0.25">
      <c r="A5">
        <v>3</v>
      </c>
      <c r="B5" s="5">
        <v>2.4700000000000002</v>
      </c>
      <c r="C5" s="6">
        <v>4.5</v>
      </c>
      <c r="D5" s="6">
        <v>0</v>
      </c>
      <c r="F5" s="11">
        <f t="shared" si="0"/>
        <v>2.745906043549196</v>
      </c>
      <c r="G5" s="11">
        <f t="shared" si="1"/>
        <v>2.9199999999999995</v>
      </c>
      <c r="I5">
        <v>3</v>
      </c>
      <c r="J5" s="18">
        <f t="shared" si="2"/>
        <v>-1.385023567282065</v>
      </c>
      <c r="K5" s="19">
        <f t="shared" si="3"/>
        <v>0.30503920174734694</v>
      </c>
      <c r="L5" s="6">
        <v>0</v>
      </c>
      <c r="N5">
        <v>3</v>
      </c>
      <c r="O5" s="18">
        <f t="shared" si="4"/>
        <v>0</v>
      </c>
      <c r="P5" s="19">
        <f t="shared" si="5"/>
        <v>0.65984654731457804</v>
      </c>
      <c r="Q5" s="6">
        <v>0</v>
      </c>
      <c r="S5">
        <v>3</v>
      </c>
      <c r="T5" s="18">
        <f t="shared" si="6"/>
        <v>0</v>
      </c>
      <c r="U5" s="19">
        <f t="shared" si="7"/>
        <v>0.65984654731457804</v>
      </c>
      <c r="V5" s="6">
        <v>0</v>
      </c>
      <c r="X5" s="33">
        <f t="shared" si="8"/>
        <v>0.84622400315632185</v>
      </c>
    </row>
    <row r="6" spans="1:26" ht="17" thickBot="1" x14ac:dyDescent="0.25">
      <c r="A6">
        <v>4</v>
      </c>
      <c r="B6" s="5">
        <v>4.71</v>
      </c>
      <c r="C6" s="6">
        <v>5.81</v>
      </c>
      <c r="D6" s="6">
        <v>0</v>
      </c>
      <c r="F6" s="11">
        <f t="shared" si="0"/>
        <v>1.5716551784663193</v>
      </c>
      <c r="G6" s="11">
        <f t="shared" si="1"/>
        <v>1.9899999999999993</v>
      </c>
      <c r="I6">
        <v>4</v>
      </c>
      <c r="J6" s="18">
        <f t="shared" si="2"/>
        <v>-0.57561767354039395</v>
      </c>
      <c r="K6" s="19">
        <f t="shared" si="3"/>
        <v>1.379236390696335</v>
      </c>
      <c r="L6" s="6">
        <v>0</v>
      </c>
      <c r="N6">
        <v>4</v>
      </c>
      <c r="O6" s="18">
        <f t="shared" si="4"/>
        <v>0.28607918263090676</v>
      </c>
      <c r="P6" s="19">
        <f t="shared" si="5"/>
        <v>0.99488491048593342</v>
      </c>
      <c r="Q6" s="6">
        <v>0</v>
      </c>
      <c r="S6">
        <v>4</v>
      </c>
      <c r="T6" s="18">
        <f t="shared" si="6"/>
        <v>0.28607918263090676</v>
      </c>
      <c r="U6" s="19">
        <f t="shared" si="7"/>
        <v>0.99488491048593342</v>
      </c>
      <c r="V6" s="6">
        <v>0</v>
      </c>
      <c r="X6" s="33">
        <f t="shared" si="8"/>
        <v>0.67114756239739604</v>
      </c>
    </row>
    <row r="7" spans="1:26" ht="17" thickBot="1" x14ac:dyDescent="0.25">
      <c r="A7">
        <v>5</v>
      </c>
      <c r="B7" s="5">
        <v>3.4</v>
      </c>
      <c r="C7" s="6">
        <v>4</v>
      </c>
      <c r="D7" s="6">
        <v>0</v>
      </c>
      <c r="F7" s="11">
        <f t="shared" si="0"/>
        <v>1.8380696395947571</v>
      </c>
      <c r="G7" s="11">
        <f t="shared" si="1"/>
        <v>2.1300000000000003</v>
      </c>
      <c r="I7">
        <v>5</v>
      </c>
      <c r="J7" s="18">
        <f t="shared" si="2"/>
        <v>-1.0489755846125319</v>
      </c>
      <c r="K7" s="19">
        <f t="shared" si="3"/>
        <v>-0.10495972533241961</v>
      </c>
      <c r="L7" s="6">
        <v>0</v>
      </c>
      <c r="N7">
        <v>5</v>
      </c>
      <c r="O7" s="18">
        <f t="shared" si="4"/>
        <v>0.11877394636015322</v>
      </c>
      <c r="P7" s="19">
        <f t="shared" si="5"/>
        <v>0.53196930946291565</v>
      </c>
      <c r="Q7" s="6">
        <v>0</v>
      </c>
      <c r="S7">
        <v>5</v>
      </c>
      <c r="T7" s="18">
        <f t="shared" si="6"/>
        <v>0.11877394636015322</v>
      </c>
      <c r="U7" s="19">
        <f t="shared" si="7"/>
        <v>0.53196930946291565</v>
      </c>
      <c r="V7" s="6">
        <v>0</v>
      </c>
      <c r="X7" s="33">
        <f t="shared" si="8"/>
        <v>0.73250170571493478</v>
      </c>
    </row>
    <row r="8" spans="1:26" ht="17" thickBot="1" x14ac:dyDescent="0.25">
      <c r="A8">
        <v>6</v>
      </c>
      <c r="B8" s="5">
        <v>8.5500000000000007</v>
      </c>
      <c r="C8" s="6">
        <v>5.83</v>
      </c>
      <c r="D8" s="6">
        <v>1</v>
      </c>
      <c r="F8" s="11">
        <f t="shared" si="0"/>
        <v>3.6654740484690387</v>
      </c>
      <c r="G8" s="11">
        <f t="shared" si="1"/>
        <v>4.8500000000000005</v>
      </c>
      <c r="I8">
        <v>6</v>
      </c>
      <c r="J8" s="18">
        <f t="shared" si="2"/>
        <v>0.81193528715961427</v>
      </c>
      <c r="K8" s="19">
        <f t="shared" si="3"/>
        <v>1.3956363477795262</v>
      </c>
      <c r="L8" s="6">
        <v>1</v>
      </c>
      <c r="N8">
        <v>6</v>
      </c>
      <c r="O8" s="18">
        <f t="shared" si="4"/>
        <v>0.77650063856960405</v>
      </c>
      <c r="P8" s="19">
        <f t="shared" si="5"/>
        <v>1</v>
      </c>
      <c r="Q8" s="6">
        <v>1</v>
      </c>
      <c r="S8">
        <v>6</v>
      </c>
      <c r="T8" s="18">
        <f t="shared" si="6"/>
        <v>0.77650063856960405</v>
      </c>
      <c r="U8" s="19">
        <f t="shared" si="7"/>
        <v>1</v>
      </c>
      <c r="V8" s="6">
        <v>1</v>
      </c>
      <c r="X8" s="33">
        <f t="shared" si="8"/>
        <v>0.38223222243076171</v>
      </c>
    </row>
    <row r="9" spans="1:26" ht="17" thickBot="1" x14ac:dyDescent="0.25">
      <c r="A9">
        <v>7</v>
      </c>
      <c r="B9" s="5">
        <v>6.87</v>
      </c>
      <c r="C9" s="6">
        <v>4.66</v>
      </c>
      <c r="D9" s="6">
        <v>1</v>
      </c>
      <c r="F9" s="11">
        <f t="shared" si="0"/>
        <v>1.6944615663980107</v>
      </c>
      <c r="G9" s="11">
        <f t="shared" si="1"/>
        <v>2</v>
      </c>
      <c r="I9">
        <v>7</v>
      </c>
      <c r="J9" s="18">
        <f t="shared" si="2"/>
        <v>0.2048808668533606</v>
      </c>
      <c r="K9" s="19">
        <f t="shared" si="3"/>
        <v>0.43623885841287241</v>
      </c>
      <c r="L9" s="6">
        <v>1</v>
      </c>
      <c r="N9">
        <v>7</v>
      </c>
      <c r="O9" s="18">
        <f t="shared" si="4"/>
        <v>0.56194125159642405</v>
      </c>
      <c r="P9" s="19">
        <f t="shared" si="5"/>
        <v>0.70076726342711004</v>
      </c>
      <c r="Q9" s="6">
        <v>1</v>
      </c>
      <c r="S9">
        <v>7</v>
      </c>
      <c r="T9" s="18">
        <f t="shared" si="6"/>
        <v>0.56194125159642405</v>
      </c>
      <c r="U9" s="19">
        <f t="shared" si="7"/>
        <v>0.70076726342711004</v>
      </c>
      <c r="V9" s="31">
        <v>1</v>
      </c>
      <c r="W9" s="32"/>
      <c r="X9" s="34">
        <f t="shared" si="8"/>
        <v>0.29372317405284931</v>
      </c>
    </row>
    <row r="10" spans="1:26" ht="17" thickBot="1" x14ac:dyDescent="0.25">
      <c r="A10">
        <v>8</v>
      </c>
      <c r="B10" s="5">
        <v>10.3</v>
      </c>
      <c r="C10" s="6">
        <v>3.64</v>
      </c>
      <c r="D10" s="6">
        <v>1</v>
      </c>
      <c r="F10" s="11">
        <f t="shared" si="0"/>
        <v>5.1352215142094897</v>
      </c>
      <c r="G10" s="11">
        <f t="shared" si="1"/>
        <v>5.7700000000000014</v>
      </c>
      <c r="I10">
        <v>8</v>
      </c>
      <c r="J10" s="18">
        <f t="shared" si="2"/>
        <v>1.4442836416452949</v>
      </c>
      <c r="K10" s="19">
        <f t="shared" si="3"/>
        <v>-0.40015895282985142</v>
      </c>
      <c r="L10" s="6">
        <v>1</v>
      </c>
      <c r="N10">
        <v>8</v>
      </c>
      <c r="O10" s="18">
        <f t="shared" si="4"/>
        <v>1</v>
      </c>
      <c r="P10" s="19">
        <f t="shared" si="5"/>
        <v>0.43989769820971869</v>
      </c>
      <c r="Q10" s="6">
        <v>1</v>
      </c>
      <c r="S10">
        <v>8</v>
      </c>
      <c r="T10" s="18">
        <f t="shared" si="6"/>
        <v>1</v>
      </c>
      <c r="U10" s="19">
        <f t="shared" si="7"/>
        <v>0.43989769820971869</v>
      </c>
      <c r="V10" s="31">
        <v>1</v>
      </c>
      <c r="W10" s="32"/>
      <c r="X10" s="34">
        <f t="shared" si="8"/>
        <v>0.24039433311722347</v>
      </c>
      <c r="Y10" s="35" t="s">
        <v>30</v>
      </c>
      <c r="Z10" s="15" t="s">
        <v>29</v>
      </c>
    </row>
    <row r="11" spans="1:26" ht="17" thickBot="1" x14ac:dyDescent="0.25">
      <c r="A11">
        <v>9</v>
      </c>
      <c r="B11" s="5">
        <v>8.92</v>
      </c>
      <c r="C11" s="6">
        <v>4.55</v>
      </c>
      <c r="D11" s="6">
        <v>1</v>
      </c>
      <c r="F11" s="11">
        <f t="shared" si="0"/>
        <v>3.7171225430432071</v>
      </c>
      <c r="G11" s="11">
        <f t="shared" si="1"/>
        <v>3.9399999999999995</v>
      </c>
      <c r="I11">
        <v>9</v>
      </c>
      <c r="J11" s="18">
        <f t="shared" si="2"/>
        <v>0.9456317963937293</v>
      </c>
      <c r="K11" s="19">
        <f t="shared" si="3"/>
        <v>0.34603909445532349</v>
      </c>
      <c r="L11" s="6">
        <v>1</v>
      </c>
      <c r="N11">
        <v>9</v>
      </c>
      <c r="O11" s="18">
        <f t="shared" si="4"/>
        <v>0.82375478927203061</v>
      </c>
      <c r="P11" s="19">
        <f t="shared" si="5"/>
        <v>0.67263427109974416</v>
      </c>
      <c r="Q11" s="6">
        <v>1</v>
      </c>
      <c r="S11">
        <v>9</v>
      </c>
      <c r="T11" s="18">
        <f t="shared" si="6"/>
        <v>0.82375478927203061</v>
      </c>
      <c r="U11" s="19">
        <f t="shared" si="7"/>
        <v>0.67263427109974416</v>
      </c>
      <c r="V11" s="31">
        <v>1</v>
      </c>
      <c r="W11" s="32"/>
      <c r="X11" s="34">
        <f t="shared" si="8"/>
        <v>5.3223088396814576E-2</v>
      </c>
    </row>
    <row r="12" spans="1:26" ht="17" thickBot="1" x14ac:dyDescent="0.25">
      <c r="A12">
        <v>10</v>
      </c>
      <c r="B12" s="5">
        <v>9.06</v>
      </c>
      <c r="C12" s="6">
        <v>1.92</v>
      </c>
      <c r="D12" s="6">
        <v>1</v>
      </c>
      <c r="F12" s="11">
        <f t="shared" si="0"/>
        <v>4.5367940222143659</v>
      </c>
      <c r="G12" s="11">
        <f t="shared" si="1"/>
        <v>6.2500000000000009</v>
      </c>
      <c r="I12">
        <v>10</v>
      </c>
      <c r="J12" s="18">
        <f t="shared" si="2"/>
        <v>0.99621966475258406</v>
      </c>
      <c r="K12" s="19">
        <f t="shared" si="3"/>
        <v>-1.8105552619842487</v>
      </c>
      <c r="L12" s="6">
        <v>1</v>
      </c>
      <c r="N12">
        <v>10</v>
      </c>
      <c r="O12" s="18">
        <f t="shared" si="4"/>
        <v>0.84163473818646228</v>
      </c>
      <c r="P12" s="19">
        <f t="shared" si="5"/>
        <v>0</v>
      </c>
      <c r="Q12" s="6">
        <v>1</v>
      </c>
      <c r="S12">
        <v>10</v>
      </c>
      <c r="T12" s="18">
        <f t="shared" si="6"/>
        <v>0.84163473818646228</v>
      </c>
      <c r="U12" s="19">
        <f t="shared" si="7"/>
        <v>0</v>
      </c>
      <c r="V12" s="6">
        <v>1</v>
      </c>
      <c r="X12" s="33">
        <f t="shared" si="8"/>
        <v>0.62405268246296886</v>
      </c>
    </row>
    <row r="14" spans="1:26" x14ac:dyDescent="0.2">
      <c r="B14" s="7" t="s">
        <v>5</v>
      </c>
      <c r="C14" s="7" t="s">
        <v>6</v>
      </c>
      <c r="F14" s="12" t="s">
        <v>8</v>
      </c>
      <c r="G14" s="12" t="s">
        <v>9</v>
      </c>
      <c r="J14" s="16" t="s">
        <v>11</v>
      </c>
      <c r="K14" s="16" t="s">
        <v>12</v>
      </c>
      <c r="O14" s="16" t="s">
        <v>16</v>
      </c>
      <c r="P14" s="16" t="s">
        <v>19</v>
      </c>
      <c r="S14" s="25"/>
      <c r="T14" s="7" t="s">
        <v>20</v>
      </c>
      <c r="U14" s="7" t="s">
        <v>21</v>
      </c>
    </row>
    <row r="15" spans="1:26" x14ac:dyDescent="0.2">
      <c r="B15" s="8">
        <v>5.21</v>
      </c>
      <c r="C15" s="9">
        <v>4.32</v>
      </c>
      <c r="F15" s="11">
        <f>MIN(F3:F12)</f>
        <v>1.1025878649794769</v>
      </c>
      <c r="G15" s="11">
        <f>MIN(G3:G12)</f>
        <v>1.5500000000000007</v>
      </c>
      <c r="J15" s="11">
        <f>AVERAGE(B3:B12)</f>
        <v>6.3029999999999999</v>
      </c>
      <c r="K15" s="11">
        <f>AVERAGE(C3:C12)</f>
        <v>4.1279999999999992</v>
      </c>
      <c r="O15" s="11">
        <f>MIN(B3:B12)</f>
        <v>2.4700000000000002</v>
      </c>
      <c r="P15" s="11">
        <f>MIN(C3:C12)</f>
        <v>1.92</v>
      </c>
      <c r="S15" s="26"/>
      <c r="T15" s="27">
        <v>9.09</v>
      </c>
      <c r="U15" s="28">
        <v>4.3600000000000003</v>
      </c>
    </row>
    <row r="16" spans="1:26" x14ac:dyDescent="0.2">
      <c r="J16" s="17" t="s">
        <v>13</v>
      </c>
      <c r="K16" s="17" t="s">
        <v>14</v>
      </c>
      <c r="O16" s="17" t="s">
        <v>18</v>
      </c>
      <c r="P16" s="17" t="s">
        <v>17</v>
      </c>
      <c r="T16" s="7" t="s">
        <v>24</v>
      </c>
      <c r="U16" s="7" t="s">
        <v>25</v>
      </c>
    </row>
    <row r="17" spans="1:27" x14ac:dyDescent="0.2">
      <c r="J17" s="11">
        <f>_xlfn.STDEV.S(B3:B12)</f>
        <v>2.7674619338945843</v>
      </c>
      <c r="K17" s="11">
        <f>_xlfn.STDEV.S(C3:C12)</f>
        <v>1.2195153864456905</v>
      </c>
      <c r="O17" s="11">
        <f>MAX(B3:B12)</f>
        <v>10.3</v>
      </c>
      <c r="P17" s="11">
        <f>MAX(C3:C12)</f>
        <v>5.83</v>
      </c>
      <c r="T17" s="27">
        <f>($T$15-$O$15)/($O$17-$O$15)</f>
        <v>0.84546615581098328</v>
      </c>
      <c r="U17" s="27">
        <f>($U$15-$P$15)/($P$17-$P$15)</f>
        <v>0.62404092071611261</v>
      </c>
    </row>
    <row r="19" spans="1:27" x14ac:dyDescent="0.2">
      <c r="T19" s="29" t="s">
        <v>26</v>
      </c>
      <c r="U19" s="29"/>
      <c r="V19" s="29"/>
      <c r="W19" s="29"/>
      <c r="X19" s="29"/>
      <c r="Y19" s="29"/>
      <c r="Z19" s="29"/>
    </row>
    <row r="20" spans="1:27" x14ac:dyDescent="0.2">
      <c r="T20" s="29" t="s">
        <v>27</v>
      </c>
      <c r="U20" s="29"/>
      <c r="V20" s="29"/>
      <c r="W20" s="29"/>
      <c r="X20" s="29"/>
      <c r="Y20" s="29"/>
      <c r="Z20" s="29"/>
    </row>
    <row r="21" spans="1:27" x14ac:dyDescent="0.2">
      <c r="A21" s="23" t="s">
        <v>22</v>
      </c>
      <c r="B21" s="22"/>
      <c r="C21" s="22"/>
      <c r="D21" s="22"/>
      <c r="E21" s="22"/>
      <c r="F21" s="22"/>
      <c r="G21" s="22"/>
      <c r="I21" s="24" t="s">
        <v>23</v>
      </c>
      <c r="J21" s="24"/>
      <c r="K21" s="24"/>
      <c r="L21" s="24"/>
      <c r="M21" s="24"/>
      <c r="N21" s="24"/>
      <c r="O21" s="24"/>
      <c r="P21" s="24"/>
      <c r="Q21" s="24"/>
      <c r="S21" s="23" t="s">
        <v>31</v>
      </c>
      <c r="T21" s="22"/>
      <c r="U21" s="22"/>
      <c r="V21" s="22"/>
      <c r="W21" s="22"/>
      <c r="X21" s="22"/>
      <c r="Y21" s="22"/>
      <c r="Z21" s="22"/>
      <c r="AA21" s="22"/>
    </row>
    <row r="22" spans="1:27" x14ac:dyDescent="0.2">
      <c r="A22" s="22"/>
      <c r="B22" s="22"/>
      <c r="C22" s="22"/>
      <c r="D22" s="22"/>
      <c r="E22" s="22"/>
      <c r="F22" s="22"/>
      <c r="G22" s="22"/>
      <c r="I22" s="24"/>
      <c r="J22" s="24"/>
      <c r="K22" s="24"/>
      <c r="L22" s="24"/>
      <c r="M22" s="24"/>
      <c r="N22" s="24"/>
      <c r="O22" s="24"/>
      <c r="P22" s="24"/>
      <c r="Q22" s="24"/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">
      <c r="A23" s="22"/>
      <c r="B23" s="22"/>
      <c r="C23" s="22"/>
      <c r="D23" s="22"/>
      <c r="E23" s="22"/>
      <c r="F23" s="22"/>
      <c r="G23" s="22"/>
      <c r="I23" s="24"/>
      <c r="J23" s="24"/>
      <c r="K23" s="24"/>
      <c r="L23" s="24"/>
      <c r="M23" s="24"/>
      <c r="N23" s="24"/>
      <c r="O23" s="24"/>
      <c r="P23" s="24"/>
      <c r="Q23" s="24"/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">
      <c r="A24" s="22"/>
      <c r="B24" s="22"/>
      <c r="C24" s="22"/>
      <c r="D24" s="22"/>
      <c r="E24" s="22"/>
      <c r="F24" s="22"/>
      <c r="G24" s="22"/>
      <c r="I24" s="24"/>
      <c r="J24" s="24"/>
      <c r="K24" s="24"/>
      <c r="L24" s="24"/>
      <c r="M24" s="24"/>
      <c r="N24" s="24"/>
      <c r="O24" s="24"/>
      <c r="P24" s="24"/>
      <c r="Q24" s="24"/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">
      <c r="A25" s="22"/>
      <c r="B25" s="22"/>
      <c r="C25" s="22"/>
      <c r="D25" s="22"/>
      <c r="E25" s="22"/>
      <c r="F25" s="22"/>
      <c r="G25" s="22"/>
      <c r="I25" s="24"/>
      <c r="J25" s="24"/>
      <c r="K25" s="24"/>
      <c r="L25" s="24"/>
      <c r="M25" s="24"/>
      <c r="N25" s="24"/>
      <c r="O25" s="24"/>
      <c r="P25" s="24"/>
      <c r="Q25" s="24"/>
      <c r="S25" s="22"/>
      <c r="T25" s="22"/>
      <c r="U25" s="22"/>
      <c r="V25" s="22"/>
      <c r="W25" s="22"/>
      <c r="X25" s="22"/>
      <c r="Y25" s="22"/>
      <c r="Z25" s="22"/>
      <c r="AA25" s="22"/>
    </row>
  </sheetData>
  <mergeCells count="5">
    <mergeCell ref="A21:G25"/>
    <mergeCell ref="I21:Q25"/>
    <mergeCell ref="T19:Z19"/>
    <mergeCell ref="T20:Z20"/>
    <mergeCell ref="S21:AA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Kai Rong</dc:creator>
  <cp:lastModifiedBy>Lee Kai Rong</cp:lastModifiedBy>
  <dcterms:created xsi:type="dcterms:W3CDTF">2026-02-14T16:00:41Z</dcterms:created>
  <dcterms:modified xsi:type="dcterms:W3CDTF">2026-02-16T01:34:19Z</dcterms:modified>
</cp:coreProperties>
</file>