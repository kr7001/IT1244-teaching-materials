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onglee/My Drive (krlee7001@gmail.com)/NUS (Acads Related)/AY2526 Sem 2/IT1244 TA/Tutorials/Tutorial 6/"/>
    </mc:Choice>
  </mc:AlternateContent>
  <xr:revisionPtr revIDLastSave="0" documentId="8_{4096B288-C123-6846-848E-3CC54A361041}" xr6:coauthVersionLast="47" xr6:coauthVersionMax="47" xr10:uidLastSave="{00000000-0000-0000-0000-000000000000}"/>
  <bookViews>
    <workbookView xWindow="0" yWindow="760" windowWidth="30240" windowHeight="17740" xr2:uid="{0703226F-2FC4-4DB9-983D-A0F4650BE192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 s="1"/>
  <c r="J15" i="1"/>
  <c r="K15" i="1" s="1"/>
  <c r="J16" i="1"/>
  <c r="K16" i="1" s="1"/>
  <c r="J17" i="1"/>
  <c r="K17" i="1" s="1"/>
  <c r="J18" i="1"/>
  <c r="K18" i="1" s="1"/>
  <c r="J13" i="1"/>
  <c r="K13" i="1" s="1"/>
  <c r="L15" i="1" l="1"/>
  <c r="M15" i="1"/>
  <c r="L13" i="1"/>
  <c r="N19" i="1"/>
  <c r="G19" i="1" s="1"/>
  <c r="M13" i="1"/>
  <c r="M18" i="1"/>
  <c r="L18" i="1"/>
  <c r="M17" i="1"/>
  <c r="L17" i="1"/>
  <c r="L16" i="1"/>
  <c r="M16" i="1"/>
  <c r="M14" i="1"/>
  <c r="L14" i="1"/>
  <c r="P19" i="1" l="1"/>
  <c r="I19" i="1" s="1"/>
  <c r="O19" i="1"/>
  <c r="H19" i="1" s="1"/>
  <c r="J20" i="1" l="1"/>
  <c r="K20" i="1" s="1"/>
  <c r="J25" i="1"/>
  <c r="K25" i="1" s="1"/>
  <c r="J24" i="1"/>
  <c r="K24" i="1" s="1"/>
  <c r="J23" i="1"/>
  <c r="K23" i="1" s="1"/>
  <c r="J22" i="1"/>
  <c r="K22" i="1" s="1"/>
  <c r="J21" i="1"/>
  <c r="K21" i="1" s="1"/>
  <c r="M21" i="1" l="1"/>
  <c r="L21" i="1"/>
  <c r="L25" i="1"/>
  <c r="M25" i="1"/>
  <c r="M22" i="1"/>
  <c r="L22" i="1"/>
  <c r="L23" i="1"/>
  <c r="M23" i="1"/>
  <c r="L24" i="1"/>
  <c r="M24" i="1"/>
  <c r="N26" i="1"/>
  <c r="G26" i="1" s="1"/>
  <c r="L20" i="1"/>
  <c r="M20" i="1"/>
  <c r="P26" i="1" l="1"/>
  <c r="I26" i="1" s="1"/>
  <c r="O26" i="1"/>
  <c r="H26" i="1" s="1"/>
  <c r="J28" i="1"/>
  <c r="K28" i="1" s="1"/>
  <c r="J29" i="1"/>
  <c r="K29" i="1" s="1"/>
  <c r="J30" i="1"/>
  <c r="K30" i="1" s="1"/>
  <c r="J31" i="1"/>
  <c r="K31" i="1" s="1"/>
  <c r="J32" i="1"/>
  <c r="K32" i="1" s="1"/>
  <c r="J27" i="1"/>
  <c r="K27" i="1" s="1"/>
  <c r="L32" i="1" l="1"/>
  <c r="M32" i="1"/>
  <c r="N33" i="1"/>
  <c r="G33" i="1" s="1"/>
  <c r="L27" i="1"/>
  <c r="M27" i="1"/>
  <c r="M31" i="1"/>
  <c r="L31" i="1"/>
  <c r="M30" i="1"/>
  <c r="L30" i="1"/>
  <c r="L29" i="1"/>
  <c r="M29" i="1"/>
  <c r="L28" i="1"/>
  <c r="M28" i="1"/>
  <c r="P33" i="1" l="1"/>
  <c r="I33" i="1" s="1"/>
  <c r="O33" i="1"/>
  <c r="H33" i="1" s="1"/>
</calcChain>
</file>

<file path=xl/sharedStrings.xml><?xml version="1.0" encoding="utf-8"?>
<sst xmlns="http://schemas.openxmlformats.org/spreadsheetml/2006/main" count="25" uniqueCount="21">
  <si>
    <t>w0</t>
  </si>
  <si>
    <t>w1</t>
  </si>
  <si>
    <t>iteration</t>
  </si>
  <si>
    <t>y_hat</t>
  </si>
  <si>
    <t>L</t>
  </si>
  <si>
    <t>(y - y_hat)</t>
  </si>
  <si>
    <t>delta_w0</t>
  </si>
  <si>
    <t>delta_w1</t>
  </si>
  <si>
    <t>end of</t>
  </si>
  <si>
    <t xml:space="preserve">end of </t>
  </si>
  <si>
    <t>Given dataset</t>
  </si>
  <si>
    <t>X1</t>
  </si>
  <si>
    <t>X2</t>
  </si>
  <si>
    <t>Y</t>
  </si>
  <si>
    <t>X0</t>
  </si>
  <si>
    <t>w2</t>
  </si>
  <si>
    <t>(y-y_hat) * X1</t>
  </si>
  <si>
    <t>(y-y_hat) * X2</t>
  </si>
  <si>
    <t>delta_w2</t>
  </si>
  <si>
    <t>Q1</t>
  </si>
  <si>
    <t>add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</si>
</sst>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32B-324E-461C-A319-3BCF88EE6644}">
  <dimension ref="A1:P33"/>
  <sheetViews>
    <sheetView tabSelected="1" zoomScale="110" zoomScaleNormal="175" workbookViewId="0">
      <selection activeCell="I39" sqref="I39"/>
    </sheetView>
  </sheetViews>
  <sheetFormatPr baseColWidth="10" defaultColWidth="8.83203125" defaultRowHeight="15" x14ac:dyDescent="0.2"/>
  <cols>
    <col min="1" max="1" width="6.5" customWidth="1"/>
    <col min="3" max="3" width="6.6640625" customWidth="1"/>
    <col min="4" max="5" width="7.5" customWidth="1"/>
    <col min="6" max="6" width="5.33203125" customWidth="1"/>
    <col min="11" max="11" width="12.33203125" customWidth="1"/>
    <col min="12" max="13" width="13.6640625" customWidth="1"/>
  </cols>
  <sheetData>
    <row r="1" spans="1:16" ht="19" x14ac:dyDescent="0.2">
      <c r="A1" s="10" t="s">
        <v>19</v>
      </c>
      <c r="D1" s="11"/>
      <c r="E1" s="23" t="s">
        <v>10</v>
      </c>
      <c r="F1" s="23"/>
    </row>
    <row r="2" spans="1:16" x14ac:dyDescent="0.2">
      <c r="D2" s="20" t="s">
        <v>11</v>
      </c>
      <c r="E2" s="20" t="s">
        <v>12</v>
      </c>
      <c r="F2" s="20" t="s">
        <v>13</v>
      </c>
      <c r="G2" s="21" t="s">
        <v>4</v>
      </c>
    </row>
    <row r="3" spans="1:16" x14ac:dyDescent="0.2">
      <c r="D3" s="4">
        <v>3.2810839999999999</v>
      </c>
      <c r="E3" s="4">
        <v>2.960537</v>
      </c>
      <c r="F3" s="4">
        <v>0</v>
      </c>
      <c r="G3" s="22">
        <v>0.01</v>
      </c>
    </row>
    <row r="4" spans="1:16" x14ac:dyDescent="0.2">
      <c r="D4" s="4">
        <v>1.965489</v>
      </c>
      <c r="E4" s="4">
        <v>2.772125</v>
      </c>
      <c r="F4" s="4">
        <v>0</v>
      </c>
    </row>
    <row r="5" spans="1:16" x14ac:dyDescent="0.2">
      <c r="D5" s="4">
        <v>3.8965619999999999</v>
      </c>
      <c r="E5" s="4">
        <v>4.8102939999999998</v>
      </c>
      <c r="F5" s="4">
        <v>0</v>
      </c>
    </row>
    <row r="6" spans="1:16" x14ac:dyDescent="0.2">
      <c r="D6" s="4">
        <v>8.1275309999999994</v>
      </c>
      <c r="E6" s="4">
        <v>3.1692619999999998</v>
      </c>
      <c r="F6" s="4">
        <v>1</v>
      </c>
    </row>
    <row r="7" spans="1:16" x14ac:dyDescent="0.2">
      <c r="D7" s="4">
        <v>5.8324410000000002</v>
      </c>
      <c r="E7" s="4">
        <v>2.4986269999999999</v>
      </c>
      <c r="F7" s="4">
        <v>1</v>
      </c>
    </row>
    <row r="8" spans="1:16" x14ac:dyDescent="0.2">
      <c r="D8" s="4">
        <v>7.4225969999999997</v>
      </c>
      <c r="E8" s="4">
        <v>2.1810640000000001</v>
      </c>
      <c r="F8" s="4">
        <v>1</v>
      </c>
    </row>
    <row r="10" spans="1:16" x14ac:dyDescent="0.2">
      <c r="C10" s="16" t="s">
        <v>20</v>
      </c>
    </row>
    <row r="11" spans="1:16" x14ac:dyDescent="0.2">
      <c r="B11" s="2" t="s">
        <v>2</v>
      </c>
      <c r="C11" s="5" t="s">
        <v>14</v>
      </c>
      <c r="D11" s="12" t="s">
        <v>11</v>
      </c>
      <c r="E11" s="20" t="s">
        <v>12</v>
      </c>
      <c r="F11" s="20" t="s">
        <v>13</v>
      </c>
      <c r="G11" s="17" t="s">
        <v>0</v>
      </c>
      <c r="H11" s="2" t="s">
        <v>1</v>
      </c>
      <c r="I11" s="2" t="s">
        <v>15</v>
      </c>
      <c r="J11" s="2" t="s">
        <v>3</v>
      </c>
      <c r="K11" s="2" t="s">
        <v>5</v>
      </c>
      <c r="L11" s="2" t="s">
        <v>16</v>
      </c>
      <c r="M11" s="2" t="s">
        <v>17</v>
      </c>
      <c r="N11" s="2" t="s">
        <v>6</v>
      </c>
      <c r="O11" s="2" t="s">
        <v>7</v>
      </c>
      <c r="P11" s="2" t="s">
        <v>18</v>
      </c>
    </row>
    <row r="12" spans="1:16" x14ac:dyDescent="0.2">
      <c r="B12" s="2">
        <v>0</v>
      </c>
      <c r="C12" s="2"/>
      <c r="D12" s="1"/>
      <c r="E12" s="18"/>
      <c r="F12" s="19"/>
      <c r="G12" s="2">
        <v>0</v>
      </c>
      <c r="H12" s="2">
        <v>0</v>
      </c>
      <c r="I12" s="2">
        <v>0</v>
      </c>
      <c r="J12" s="3"/>
      <c r="K12" s="3"/>
      <c r="L12" s="3"/>
      <c r="M12" s="3"/>
      <c r="N12" s="1"/>
      <c r="O12" s="14"/>
      <c r="P12" s="14"/>
    </row>
    <row r="13" spans="1:16" x14ac:dyDescent="0.2">
      <c r="B13" s="8"/>
      <c r="C13" s="2">
        <v>1</v>
      </c>
      <c r="D13" s="4">
        <v>3.2810839999999999</v>
      </c>
      <c r="E13" s="4">
        <v>2.960537</v>
      </c>
      <c r="F13" s="4">
        <v>0</v>
      </c>
      <c r="J13" s="1">
        <f>1/(1+EXP(-($G$12*C13+$H$12*D13+$I$12*E13)))</f>
        <v>0.5</v>
      </c>
      <c r="K13" s="1">
        <f t="shared" ref="K13:K18" si="0">(F13-J13)</f>
        <v>-0.5</v>
      </c>
      <c r="L13" s="1">
        <f t="shared" ref="L13:L18" si="1">K13*D13</f>
        <v>-1.6405419999999999</v>
      </c>
      <c r="M13" s="3">
        <f>K13*E13</f>
        <v>-1.4802685</v>
      </c>
    </row>
    <row r="14" spans="1:16" x14ac:dyDescent="0.2">
      <c r="B14" s="8"/>
      <c r="C14" s="2">
        <v>1</v>
      </c>
      <c r="D14" s="4">
        <v>1.965489</v>
      </c>
      <c r="E14" s="4">
        <v>2.772125</v>
      </c>
      <c r="F14" s="4">
        <v>0</v>
      </c>
      <c r="J14" s="1">
        <f t="shared" ref="J14:J18" si="2">1/(1+EXP(-($G$12*C14+$H$12*D14+$I$12*E14)))</f>
        <v>0.5</v>
      </c>
      <c r="K14" s="1">
        <f t="shared" si="0"/>
        <v>-0.5</v>
      </c>
      <c r="L14" s="1">
        <f t="shared" si="1"/>
        <v>-0.98274450000000002</v>
      </c>
      <c r="M14" s="3">
        <f t="shared" ref="M14:M18" si="3">K14*E14</f>
        <v>-1.3860625</v>
      </c>
    </row>
    <row r="15" spans="1:16" x14ac:dyDescent="0.2">
      <c r="B15" s="8"/>
      <c r="C15" s="2">
        <v>1</v>
      </c>
      <c r="D15" s="4">
        <v>3.8965619999999999</v>
      </c>
      <c r="E15" s="4">
        <v>4.8102939999999998</v>
      </c>
      <c r="F15" s="4">
        <v>0</v>
      </c>
      <c r="J15" s="1">
        <f t="shared" si="2"/>
        <v>0.5</v>
      </c>
      <c r="K15" s="1">
        <f t="shared" si="0"/>
        <v>-0.5</v>
      </c>
      <c r="L15" s="1">
        <f t="shared" si="1"/>
        <v>-1.9482809999999999</v>
      </c>
      <c r="M15" s="3">
        <f t="shared" si="3"/>
        <v>-2.4051469999999999</v>
      </c>
    </row>
    <row r="16" spans="1:16" x14ac:dyDescent="0.2">
      <c r="B16" s="8"/>
      <c r="C16" s="2">
        <v>1</v>
      </c>
      <c r="D16" s="4">
        <v>8.1275309999999994</v>
      </c>
      <c r="E16" s="4">
        <v>3.1692619999999998</v>
      </c>
      <c r="F16" s="4">
        <v>1</v>
      </c>
      <c r="J16" s="1">
        <f t="shared" si="2"/>
        <v>0.5</v>
      </c>
      <c r="K16" s="1">
        <f t="shared" si="0"/>
        <v>0.5</v>
      </c>
      <c r="L16" s="1">
        <f t="shared" si="1"/>
        <v>4.0637654999999997</v>
      </c>
      <c r="M16" s="3">
        <f t="shared" si="3"/>
        <v>1.5846309999999999</v>
      </c>
    </row>
    <row r="17" spans="1:16" x14ac:dyDescent="0.2">
      <c r="B17" s="8"/>
      <c r="C17" s="2">
        <v>1</v>
      </c>
      <c r="D17" s="4">
        <v>5.8324410000000002</v>
      </c>
      <c r="E17" s="4">
        <v>2.4986269999999999</v>
      </c>
      <c r="F17" s="4">
        <v>1</v>
      </c>
      <c r="J17" s="1">
        <f t="shared" si="2"/>
        <v>0.5</v>
      </c>
      <c r="K17" s="1">
        <f t="shared" si="0"/>
        <v>0.5</v>
      </c>
      <c r="L17" s="1">
        <f t="shared" si="1"/>
        <v>2.9162205000000001</v>
      </c>
      <c r="M17" s="3">
        <f t="shared" si="3"/>
        <v>1.2493135</v>
      </c>
    </row>
    <row r="18" spans="1:16" x14ac:dyDescent="0.2">
      <c r="B18" s="8"/>
      <c r="C18" s="2">
        <v>1</v>
      </c>
      <c r="D18" s="4">
        <v>7.4225969999999997</v>
      </c>
      <c r="E18" s="4">
        <v>2.1810640000000001</v>
      </c>
      <c r="F18" s="4">
        <v>1</v>
      </c>
      <c r="J18" s="1">
        <f t="shared" si="2"/>
        <v>0.5</v>
      </c>
      <c r="K18" s="1">
        <f t="shared" si="0"/>
        <v>0.5</v>
      </c>
      <c r="L18" s="1">
        <f t="shared" si="1"/>
        <v>3.7112984999999998</v>
      </c>
      <c r="M18" s="3">
        <f t="shared" si="3"/>
        <v>1.0905320000000001</v>
      </c>
    </row>
    <row r="19" spans="1:16" x14ac:dyDescent="0.2">
      <c r="A19" s="9" t="s">
        <v>8</v>
      </c>
      <c r="B19" s="5">
        <v>1</v>
      </c>
      <c r="C19" s="24"/>
      <c r="D19" s="25"/>
      <c r="E19" s="25"/>
      <c r="F19" s="26"/>
      <c r="G19" s="5">
        <f>(G12+G3*N19)</f>
        <v>0</v>
      </c>
      <c r="H19" s="5">
        <f>H12+G3*O19</f>
        <v>1.0199528333333333E-2</v>
      </c>
      <c r="I19" s="5">
        <f>I12+G3*P19</f>
        <v>-2.2450025E-3</v>
      </c>
      <c r="J19" s="13"/>
      <c r="K19" s="13"/>
      <c r="L19" s="13"/>
      <c r="M19" s="13"/>
      <c r="N19" s="15">
        <f>(1/6)*(SUM(K13:K18))</f>
        <v>0</v>
      </c>
      <c r="O19" s="15">
        <f>(1/6)*SUM(L13:L18)</f>
        <v>1.0199528333333332</v>
      </c>
      <c r="P19" s="15">
        <f>(1/6)*SUM(M13:M18)</f>
        <v>-0.22450025000000001</v>
      </c>
    </row>
    <row r="20" spans="1:16" x14ac:dyDescent="0.2">
      <c r="A20" s="9"/>
      <c r="B20" s="7"/>
      <c r="C20" s="2">
        <v>1</v>
      </c>
      <c r="D20" s="4">
        <v>3.2810839999999999</v>
      </c>
      <c r="E20" s="4">
        <v>2.960537</v>
      </c>
      <c r="F20" s="4">
        <v>0</v>
      </c>
      <c r="G20" s="7"/>
      <c r="H20" s="7"/>
      <c r="I20" s="7"/>
      <c r="J20" s="1">
        <f>1/(1+EXP(-($G$19*C20+$H$19*D20+$I$19*E20)))</f>
        <v>0.50670437221765419</v>
      </c>
      <c r="K20" s="1">
        <f t="shared" ref="K20:K25" si="4">F20-J20</f>
        <v>-0.50670437221765419</v>
      </c>
      <c r="L20" s="1">
        <f>K20*D20</f>
        <v>-1.6625396084133897</v>
      </c>
      <c r="M20" s="3">
        <f>K20*E20</f>
        <v>-1.5001170420121372</v>
      </c>
    </row>
    <row r="21" spans="1:16" x14ac:dyDescent="0.2">
      <c r="A21" s="9"/>
      <c r="B21" s="7"/>
      <c r="C21" s="2">
        <v>1</v>
      </c>
      <c r="D21" s="4">
        <v>1.965489</v>
      </c>
      <c r="E21" s="4">
        <v>2.772125</v>
      </c>
      <c r="F21" s="4">
        <v>0</v>
      </c>
      <c r="G21" s="7"/>
      <c r="H21" s="7"/>
      <c r="I21" s="7"/>
      <c r="J21" s="1">
        <f t="shared" ref="J21:J25" si="5">1/(1+EXP(-($G$19*C21+$H$19*D21+$I$19*E21)))</f>
        <v>0.50345585326503617</v>
      </c>
      <c r="K21" s="1">
        <f t="shared" si="4"/>
        <v>-0.50345585326503617</v>
      </c>
      <c r="L21" s="1">
        <f t="shared" ref="L21:L25" si="6">K21*D21</f>
        <v>-0.98953694157804273</v>
      </c>
      <c r="M21" s="3">
        <f t="shared" ref="M21:M25" si="7">K21*E21</f>
        <v>-1.3956425572323383</v>
      </c>
    </row>
    <row r="22" spans="1:16" x14ac:dyDescent="0.2">
      <c r="A22" s="9"/>
      <c r="B22" s="7"/>
      <c r="C22" s="2">
        <v>1</v>
      </c>
      <c r="D22" s="4">
        <v>3.8965619999999999</v>
      </c>
      <c r="E22" s="4">
        <v>4.8102939999999998</v>
      </c>
      <c r="F22" s="4">
        <v>0</v>
      </c>
      <c r="G22" s="7"/>
      <c r="H22" s="7"/>
      <c r="I22" s="7"/>
      <c r="J22" s="1">
        <f t="shared" si="5"/>
        <v>0.50723548799387519</v>
      </c>
      <c r="K22" s="1">
        <f t="shared" si="4"/>
        <v>-0.50723548799387519</v>
      </c>
      <c r="L22" s="1">
        <f t="shared" si="6"/>
        <v>-1.9764745275683901</v>
      </c>
      <c r="M22" s="3">
        <f t="shared" si="7"/>
        <v>-2.4399518244840097</v>
      </c>
    </row>
    <row r="23" spans="1:16" x14ac:dyDescent="0.2">
      <c r="A23" s="9"/>
      <c r="B23" s="7"/>
      <c r="C23" s="2">
        <v>1</v>
      </c>
      <c r="D23" s="4">
        <v>8.1275309999999994</v>
      </c>
      <c r="E23" s="4">
        <v>3.1692619999999998</v>
      </c>
      <c r="F23" s="4">
        <v>1</v>
      </c>
      <c r="G23" s="7"/>
      <c r="H23" s="7"/>
      <c r="I23" s="7"/>
      <c r="J23" s="1">
        <f t="shared" si="5"/>
        <v>0.51893643375008236</v>
      </c>
      <c r="K23" s="1">
        <f t="shared" si="4"/>
        <v>0.48106356624991764</v>
      </c>
      <c r="L23" s="1">
        <f t="shared" si="6"/>
        <v>3.909859047666759</v>
      </c>
      <c r="M23" s="3">
        <f t="shared" si="7"/>
        <v>1.5246164801003463</v>
      </c>
    </row>
    <row r="24" spans="1:16" x14ac:dyDescent="0.2">
      <c r="A24" s="9"/>
      <c r="B24" s="7"/>
      <c r="C24" s="2">
        <v>1</v>
      </c>
      <c r="D24" s="4">
        <v>5.8324410000000002</v>
      </c>
      <c r="E24" s="4">
        <v>2.4986269999999999</v>
      </c>
      <c r="F24" s="4">
        <v>1</v>
      </c>
      <c r="G24" s="7"/>
      <c r="H24" s="7"/>
      <c r="I24" s="7"/>
      <c r="J24" s="1">
        <f t="shared" si="5"/>
        <v>0.51346642334129255</v>
      </c>
      <c r="K24" s="1">
        <f t="shared" si="4"/>
        <v>0.48653357665870745</v>
      </c>
      <c r="L24" s="1">
        <f t="shared" si="6"/>
        <v>2.8376783803808885</v>
      </c>
      <c r="M24" s="3">
        <f>K24*E24</f>
        <v>1.2156659310460163</v>
      </c>
    </row>
    <row r="25" spans="1:16" x14ac:dyDescent="0.2">
      <c r="A25" s="9"/>
      <c r="B25" s="7"/>
      <c r="C25" s="2">
        <v>1</v>
      </c>
      <c r="D25" s="4">
        <v>7.4225969999999997</v>
      </c>
      <c r="E25" s="4">
        <v>2.1810640000000001</v>
      </c>
      <c r="F25" s="4">
        <v>1</v>
      </c>
      <c r="G25" s="7"/>
      <c r="H25" s="7"/>
      <c r="I25" s="7"/>
      <c r="J25" s="1">
        <f t="shared" si="5"/>
        <v>0.51769523034373399</v>
      </c>
      <c r="K25" s="1">
        <f t="shared" si="4"/>
        <v>0.48230476965626601</v>
      </c>
      <c r="L25" s="1">
        <f t="shared" si="6"/>
        <v>3.5799539363362909</v>
      </c>
      <c r="M25" s="3">
        <f t="shared" si="7"/>
        <v>1.0519375701255742</v>
      </c>
    </row>
    <row r="26" spans="1:16" x14ac:dyDescent="0.2">
      <c r="A26" s="9" t="s">
        <v>9</v>
      </c>
      <c r="B26" s="5">
        <v>2</v>
      </c>
      <c r="C26" s="27"/>
      <c r="D26" s="27"/>
      <c r="E26" s="27"/>
      <c r="F26" s="27"/>
      <c r="G26" s="5">
        <f>G19+G3*N26</f>
        <v>-1.1248966818612389E-4</v>
      </c>
      <c r="H26" s="5">
        <f>H19+G3*O26</f>
        <v>1.9697762144706858E-2</v>
      </c>
      <c r="I26" s="5">
        <f>I19+G3*P26</f>
        <v>-4.817488237427581E-3</v>
      </c>
      <c r="J26" s="28"/>
      <c r="K26" s="29"/>
      <c r="L26" s="29"/>
      <c r="M26" s="30"/>
      <c r="N26" s="6">
        <f>(1/6)*SUM(K20:K25)</f>
        <v>-1.1248966818612389E-2</v>
      </c>
      <c r="O26" s="6">
        <f>(1/6)*SUM(L20:L25)</f>
        <v>0.94982338113735265</v>
      </c>
      <c r="P26" s="15">
        <f>(1/6)*SUM(M20:M25)</f>
        <v>-0.25724857374275806</v>
      </c>
    </row>
    <row r="27" spans="1:16" x14ac:dyDescent="0.2">
      <c r="A27" s="9"/>
      <c r="B27" s="7"/>
      <c r="C27" s="2">
        <v>1</v>
      </c>
      <c r="D27" s="4">
        <v>3.2810839999999999</v>
      </c>
      <c r="E27" s="4">
        <v>2.960537</v>
      </c>
      <c r="F27" s="4">
        <v>0</v>
      </c>
      <c r="G27" s="7"/>
      <c r="H27" s="7"/>
      <c r="I27" s="7"/>
      <c r="J27" s="1">
        <f>1/(1+EXP(-($G$26*C27+$H$26*D27+$I$26*E27)))</f>
        <v>0.51256114901845884</v>
      </c>
      <c r="K27" s="1">
        <f t="shared" ref="K27:K32" si="8">F27-J27</f>
        <v>-0.51256114901845884</v>
      </c>
      <c r="L27" s="1">
        <f>K27*D27</f>
        <v>-1.6817561850660809</v>
      </c>
      <c r="M27" s="3">
        <f>K27*E27</f>
        <v>-1.517456246431661</v>
      </c>
    </row>
    <row r="28" spans="1:16" x14ac:dyDescent="0.2">
      <c r="A28" s="9"/>
      <c r="B28" s="7"/>
      <c r="C28" s="2">
        <v>1</v>
      </c>
      <c r="D28" s="4">
        <v>1.965489</v>
      </c>
      <c r="E28" s="4">
        <v>2.772125</v>
      </c>
      <c r="F28" s="4">
        <v>0</v>
      </c>
      <c r="G28" s="7"/>
      <c r="H28" s="7"/>
      <c r="I28" s="7"/>
      <c r="J28" s="1">
        <f t="shared" ref="J28:J32" si="9">1/(1+EXP(-($G$26*C28+$H$26*D28+$I$26*E28)))</f>
        <v>0.50631180608700876</v>
      </c>
      <c r="K28" s="1">
        <f t="shared" si="8"/>
        <v>-0.50631180608700876</v>
      </c>
      <c r="L28" s="1">
        <f>K28*D28</f>
        <v>-0.99515028543414874</v>
      </c>
      <c r="M28" s="3">
        <f t="shared" ref="M28:M32" si="10">K28*E28</f>
        <v>-1.4035596154489491</v>
      </c>
    </row>
    <row r="29" spans="1:16" x14ac:dyDescent="0.2">
      <c r="A29" s="9"/>
      <c r="B29" s="7"/>
      <c r="C29" s="2">
        <v>1</v>
      </c>
      <c r="D29" s="4">
        <v>3.8965619999999999</v>
      </c>
      <c r="E29" s="4">
        <v>4.8102939999999998</v>
      </c>
      <c r="F29" s="4">
        <v>0</v>
      </c>
      <c r="G29" s="7"/>
      <c r="H29" s="7"/>
      <c r="I29" s="7"/>
      <c r="J29" s="1">
        <f t="shared" si="9"/>
        <v>0.51336369825611516</v>
      </c>
      <c r="K29" s="1">
        <f t="shared" si="8"/>
        <v>-0.51336369825611516</v>
      </c>
      <c r="L29" s="1">
        <f>K29*D29</f>
        <v>-2.0003534788042447</v>
      </c>
      <c r="M29" s="3">
        <f t="shared" si="10"/>
        <v>-2.4694303175392012</v>
      </c>
    </row>
    <row r="30" spans="1:16" x14ac:dyDescent="0.2">
      <c r="A30" s="9"/>
      <c r="B30" s="7"/>
      <c r="C30" s="2">
        <v>1</v>
      </c>
      <c r="D30" s="4">
        <v>8.1275309999999994</v>
      </c>
      <c r="E30" s="4">
        <v>3.1692619999999998</v>
      </c>
      <c r="F30" s="4">
        <v>1</v>
      </c>
      <c r="G30" s="7"/>
      <c r="H30" s="7"/>
      <c r="I30" s="7"/>
      <c r="J30" s="1">
        <f t="shared" si="9"/>
        <v>0.53611544436217717</v>
      </c>
      <c r="K30" s="1">
        <f t="shared" si="8"/>
        <v>0.46388455563782283</v>
      </c>
      <c r="L30" s="1">
        <f>K30*D30</f>
        <v>3.7702361063676295</v>
      </c>
      <c r="M30" s="3">
        <f t="shared" si="10"/>
        <v>1.4701716945698375</v>
      </c>
    </row>
    <row r="31" spans="1:16" x14ac:dyDescent="0.2">
      <c r="A31" s="9"/>
      <c r="B31" s="7"/>
      <c r="C31" s="2">
        <v>1</v>
      </c>
      <c r="D31" s="4">
        <v>5.8324410000000002</v>
      </c>
      <c r="E31" s="4">
        <v>2.4986269999999999</v>
      </c>
      <c r="F31" s="4">
        <v>1</v>
      </c>
      <c r="G31" s="7"/>
      <c r="H31" s="7"/>
      <c r="I31" s="7"/>
      <c r="J31" s="1">
        <f t="shared" si="9"/>
        <v>0.52566154290567046</v>
      </c>
      <c r="K31" s="1">
        <f t="shared" si="8"/>
        <v>0.47433845709432954</v>
      </c>
      <c r="L31" s="1">
        <f>K31*D31</f>
        <v>2.7665510650337084</v>
      </c>
      <c r="M31" s="3">
        <f t="shared" si="10"/>
        <v>1.1851948760342332</v>
      </c>
    </row>
    <row r="32" spans="1:16" x14ac:dyDescent="0.2">
      <c r="A32" s="9"/>
      <c r="B32" s="7"/>
      <c r="C32" s="2">
        <v>1</v>
      </c>
      <c r="D32" s="4">
        <v>7.4225969999999997</v>
      </c>
      <c r="E32" s="4">
        <v>2.1810640000000001</v>
      </c>
      <c r="F32" s="4">
        <v>1</v>
      </c>
      <c r="G32" s="7"/>
      <c r="H32" s="7"/>
      <c r="I32" s="7"/>
      <c r="J32" s="1">
        <f t="shared" si="9"/>
        <v>0.53384536645352232</v>
      </c>
      <c r="K32" s="1">
        <f t="shared" si="8"/>
        <v>0.46615463354647768</v>
      </c>
      <c r="L32" s="1">
        <f t="shared" ref="L32" si="11">K32*D32</f>
        <v>3.4600779844981844</v>
      </c>
      <c r="M32" s="3">
        <f t="shared" si="10"/>
        <v>1.0167130896614149</v>
      </c>
    </row>
    <row r="33" spans="1:16" x14ac:dyDescent="0.2">
      <c r="A33" s="9" t="s">
        <v>8</v>
      </c>
      <c r="B33" s="5">
        <v>3</v>
      </c>
      <c r="C33" s="27"/>
      <c r="D33" s="27"/>
      <c r="E33" s="27"/>
      <c r="F33" s="27"/>
      <c r="G33" s="5">
        <f>G26+G3*N33</f>
        <v>-3.2558801332437841E-4</v>
      </c>
      <c r="H33" s="5">
        <f>H26+G3*O33</f>
        <v>2.8563770822365268E-2</v>
      </c>
      <c r="I33" s="5">
        <f>I26+G3*P33</f>
        <v>-7.6814324360181228E-3</v>
      </c>
      <c r="J33" s="31"/>
      <c r="K33" s="31"/>
      <c r="L33" s="31"/>
      <c r="M33" s="31"/>
      <c r="N33" s="6">
        <f>(1/6)*SUM(K27:K32)</f>
        <v>-2.1309834513825454E-2</v>
      </c>
      <c r="O33" s="6">
        <f>(1/6)*SUM(L27:L32)</f>
        <v>0.88660086776584124</v>
      </c>
      <c r="P33" s="6">
        <f>(1/6)*SUM(M27:M32)</f>
        <v>-0.28639441985905423</v>
      </c>
    </row>
  </sheetData>
  <mergeCells count="5">
    <mergeCell ref="C19:F19"/>
    <mergeCell ref="C26:F26"/>
    <mergeCell ref="C33:F33"/>
    <mergeCell ref="J26:M26"/>
    <mergeCell ref="J33:M33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512b3-b280-4898-a8a5-1adb2eeeef19">
      <Terms xmlns="http://schemas.microsoft.com/office/infopath/2007/PartnerControls"/>
    </lcf76f155ced4ddcb4097134ff3c332f>
    <TaxCatchAll xmlns="dd798dc3-c7ab-47ef-8691-58fe5f480d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0074D404D5EC49A9DFA0B0004E1DCB" ma:contentTypeVersion="16" ma:contentTypeDescription="Create a new document." ma:contentTypeScope="" ma:versionID="b3ce1a875b77022eff68c2736d047dd7">
  <xsd:schema xmlns:xsd="http://www.w3.org/2001/XMLSchema" xmlns:xs="http://www.w3.org/2001/XMLSchema" xmlns:p="http://schemas.microsoft.com/office/2006/metadata/properties" xmlns:ns2="1e5512b3-b280-4898-a8a5-1adb2eeeef19" xmlns:ns3="dd798dc3-c7ab-47ef-8691-58fe5f480d73" targetNamespace="http://schemas.microsoft.com/office/2006/metadata/properties" ma:root="true" ma:fieldsID="7be1d173f55e2c4c979bda0195af9c1c" ns2:_="" ns3:_="">
    <xsd:import namespace="1e5512b3-b280-4898-a8a5-1adb2eeeef19"/>
    <xsd:import namespace="dd798dc3-c7ab-47ef-8691-58fe5f480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512b3-b280-4898-a8a5-1adb2eeeef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98dc3-c7ab-47ef-8691-58fe5f480d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ca3c4b9-d600-4a1e-b489-cbea56a0ef0f}" ma:internalName="TaxCatchAll" ma:showField="CatchAllData" ma:web="dd798dc3-c7ab-47ef-8691-58fe5f480d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5D332-735C-4E37-97DD-BB4681D2313D}">
  <ds:schemaRefs>
    <ds:schemaRef ds:uri="dd798dc3-c7ab-47ef-8691-58fe5f480d73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1e5512b3-b280-4898-a8a5-1adb2eeeef19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B6D52D4-F49F-4D93-9702-15C8F6D233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A2044-B6EA-4281-AFA9-84F32C788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512b3-b280-4898-a8a5-1adb2eeeef19"/>
    <ds:schemaRef ds:uri="dd798dc3-c7ab-47ef-8691-58fe5f480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Natarajan</dc:creator>
  <cp:lastModifiedBy>Lee Kai Rong</cp:lastModifiedBy>
  <dcterms:created xsi:type="dcterms:W3CDTF">2022-02-22T08:50:59Z</dcterms:created>
  <dcterms:modified xsi:type="dcterms:W3CDTF">2026-03-09T05:13:40Z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0x010100C70074D404D5EC49A9DFA0B0004E1DCB</vt:lpwstr>
  </property>
  <property fmtid="{D5CDD505-2E9C-101B-9397-08002B2CF9AE}" pid="3" name="MediaServiceImageTags">
    <vt:lpwstr/>
  </property>
</Properties>
</file>