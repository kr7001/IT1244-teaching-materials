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onglee/My Drive (krlee7001@gmail.com)/NUS (Acads Related)/AY2526 Sem 2/IT1244 TA/Tutorials/Tutorial 7/"/>
    </mc:Choice>
  </mc:AlternateContent>
  <xr:revisionPtr revIDLastSave="0" documentId="8_{4A196CC1-D0AD-BA4C-924B-2A7BAE943F11}" xr6:coauthVersionLast="47" xr6:coauthVersionMax="47" xr10:uidLastSave="{00000000-0000-0000-0000-000000000000}"/>
  <bookViews>
    <workbookView xWindow="0" yWindow="760" windowWidth="30240" windowHeight="17700" xr2:uid="{CBDBC811-4816-4BA6-9C73-6AEF12686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K4" i="1"/>
  <c r="G3" i="1"/>
  <c r="K10" i="1" s="1"/>
  <c r="H31" i="1"/>
  <c r="G31" i="1"/>
  <c r="G30" i="1"/>
  <c r="H30" i="1"/>
  <c r="G16" i="1"/>
  <c r="H17" i="1"/>
  <c r="H16" i="1"/>
  <c r="G17" i="1"/>
  <c r="L4" i="1"/>
  <c r="K8" i="1" l="1"/>
  <c r="K9" i="1"/>
  <c r="K7" i="1"/>
  <c r="K6" i="1"/>
  <c r="K5" i="1"/>
  <c r="K13" i="1"/>
  <c r="K12" i="1"/>
  <c r="K11" i="1"/>
  <c r="H4" i="1"/>
  <c r="G4" i="1"/>
  <c r="H3" i="1"/>
  <c r="P11" i="1"/>
  <c r="Q10" i="1"/>
  <c r="Q11" i="1"/>
  <c r="P10" i="1"/>
  <c r="L31" i="1"/>
  <c r="K37" i="1"/>
  <c r="L23" i="1"/>
  <c r="K22" i="1"/>
  <c r="K20" i="1"/>
  <c r="L13" i="1" l="1"/>
  <c r="L7" i="1"/>
  <c r="L12" i="1"/>
  <c r="M7" i="1"/>
  <c r="M12" i="1"/>
  <c r="K23" i="1"/>
  <c r="M23" i="1" s="1"/>
  <c r="K21" i="1"/>
  <c r="L25" i="1"/>
  <c r="L8" i="1"/>
  <c r="L6" i="1"/>
  <c r="L5" i="1"/>
  <c r="M13" i="1"/>
  <c r="K24" i="1"/>
  <c r="L24" i="1"/>
  <c r="L18" i="1"/>
  <c r="L22" i="1"/>
  <c r="M22" i="1" s="1"/>
  <c r="L11" i="1"/>
  <c r="M11" i="1" s="1"/>
  <c r="K17" i="1"/>
  <c r="K19" i="1"/>
  <c r="L21" i="1"/>
  <c r="K36" i="1"/>
  <c r="L38" i="1"/>
  <c r="L10" i="1"/>
  <c r="K26" i="1"/>
  <c r="K18" i="1"/>
  <c r="M18" i="1" s="1"/>
  <c r="L20" i="1"/>
  <c r="M20" i="1" s="1"/>
  <c r="K35" i="1"/>
  <c r="L37" i="1"/>
  <c r="M37" i="1" s="1"/>
  <c r="L9" i="1"/>
  <c r="K25" i="1"/>
  <c r="L17" i="1"/>
  <c r="L19" i="1"/>
  <c r="K34" i="1"/>
  <c r="L36" i="1"/>
  <c r="L26" i="1"/>
  <c r="K33" i="1"/>
  <c r="L35" i="1"/>
  <c r="K30" i="1"/>
  <c r="K32" i="1"/>
  <c r="L34" i="1"/>
  <c r="K39" i="1"/>
  <c r="K31" i="1"/>
  <c r="M31" i="1" s="1"/>
  <c r="L33" i="1"/>
  <c r="K38" i="1"/>
  <c r="L30" i="1"/>
  <c r="L32" i="1"/>
  <c r="L39" i="1"/>
  <c r="M33" i="1" l="1"/>
  <c r="M38" i="1"/>
  <c r="M34" i="1"/>
  <c r="M35" i="1"/>
  <c r="M39" i="1"/>
  <c r="M30" i="1"/>
  <c r="M26" i="1"/>
  <c r="M6" i="1"/>
  <c r="M5" i="1"/>
  <c r="M32" i="1"/>
  <c r="M25" i="1"/>
  <c r="M24" i="1"/>
  <c r="M8" i="1"/>
  <c r="M21" i="1"/>
  <c r="M17" i="1"/>
  <c r="M19" i="1"/>
  <c r="M10" i="1"/>
  <c r="M9" i="1"/>
  <c r="M36" i="1"/>
  <c r="G45" i="1" l="1"/>
  <c r="H46" i="1"/>
  <c r="H45" i="1"/>
  <c r="G46" i="1"/>
</calcChain>
</file>

<file path=xl/sharedStrings.xml><?xml version="1.0" encoding="utf-8"?>
<sst xmlns="http://schemas.openxmlformats.org/spreadsheetml/2006/main" count="36" uniqueCount="18">
  <si>
    <t>X1</t>
  </si>
  <si>
    <t>X2</t>
  </si>
  <si>
    <t>Cluster-ID</t>
  </si>
  <si>
    <t>Distance</t>
  </si>
  <si>
    <t>new Cluster id</t>
  </si>
  <si>
    <t>after 1st iter</t>
  </si>
  <si>
    <t>after 2nd iter</t>
  </si>
  <si>
    <t>after 3rd iter</t>
  </si>
  <si>
    <t>X2-Centroid</t>
  </si>
  <si>
    <t>X1-Centroid</t>
  </si>
  <si>
    <t>K-means Clustering</t>
  </si>
  <si>
    <t>Note: If given centroids, we do cluster reassignment first. Else, we compute the centroids first.</t>
  </si>
  <si>
    <r>
      <t>Takes in &lt;</t>
    </r>
    <r>
      <rPr>
        <b/>
        <sz val="11"/>
        <color rgb="FF00B0F0"/>
        <rFont val="Calibri (Body)"/>
      </rPr>
      <t>column to be evaluated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F0"/>
        <rFont val="Calibri (Body)"/>
      </rPr>
      <t>"condition"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 (Body)"/>
      </rPr>
      <t>column to average</t>
    </r>
    <r>
      <rPr>
        <sz val="11"/>
        <color theme="1"/>
        <rFont val="Calibri"/>
        <family val="2"/>
        <scheme val="minor"/>
      </rPr>
      <t>&gt;</t>
    </r>
  </si>
  <si>
    <t>column to be evaluated: Cluster-ID</t>
  </si>
  <si>
    <t>condition: "=1"</t>
  </si>
  <si>
    <t>column to average: X1</t>
  </si>
  <si>
    <t>Example: We want to find the mean of X1 for Cluster 1.</t>
  </si>
  <si>
    <r>
      <rPr>
        <b/>
        <sz val="11"/>
        <color theme="1"/>
        <rFont val="Calibri"/>
        <family val="2"/>
        <scheme val="minor"/>
      </rPr>
      <t>AVERAGEIF</t>
    </r>
    <r>
      <rPr>
        <sz val="11"/>
        <color theme="1"/>
        <rFont val="Calibri"/>
        <family val="2"/>
        <scheme val="minor"/>
      </rPr>
      <t xml:space="preserve"> function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</si>
</sst>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 (Body)"/>
    </font>
    <font>
      <b/>
      <sz val="11"/>
      <color rgb="FF00B0F0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4" borderId="9" xfId="0" applyFill="1" applyBorder="1"/>
    <xf numFmtId="0" fontId="0" fillId="4" borderId="8" xfId="0" applyFill="1" applyBorder="1"/>
    <xf numFmtId="0" fontId="0" fillId="4" borderId="0" xfId="0" applyFill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>
              <a:noFill/>
            </a:ln>
          </c:spPr>
          <c:xVal>
            <c:numRef>
              <c:f>Sheet1!$B$4:$B$13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</c:numCache>
            </c:numRef>
          </c:xVal>
          <c:yVal>
            <c:numRef>
              <c:f>Sheet1!$C$4:$C$13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F83-3F4B-A813-3E4E2E1A18F1}"/>
            </c:ext>
          </c:extLst>
        </c:ser>
        <c:ser>
          <c:idx val="3"/>
          <c:order val="1"/>
          <c:spPr>
            <a:ln w="19050" cap="rnd">
              <a:noFill/>
              <a:round/>
            </a:ln>
            <a:effectLst/>
          </c:spPr>
          <c:xVal>
            <c:numRef>
              <c:f>Sheet1!$B$4:$B$13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</c:numCache>
            </c:numRef>
          </c:xVal>
          <c:yVal>
            <c:numRef>
              <c:f>Sheet1!$C$4:$C$13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F83-3F4B-A813-3E4E2E1A18F1}"/>
            </c:ext>
          </c:extLst>
        </c:ser>
        <c:ser>
          <c:idx val="1"/>
          <c:order val="2"/>
          <c:spPr>
            <a:ln>
              <a:noFill/>
            </a:ln>
          </c:spPr>
          <c:xVal>
            <c:numRef>
              <c:f>Sheet1!$B$4:$B$13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</c:numCache>
            </c:numRef>
          </c:xVal>
          <c:yVal>
            <c:numRef>
              <c:f>Sheet1!$C$4:$C$13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83-3F4B-A813-3E4E2E1A18F1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Sheet1!$B$4:$B$13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</c:numCache>
            </c:numRef>
          </c:xVal>
          <c:yVal>
            <c:numRef>
              <c:f>Sheet1!$C$4:$C$13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83-3F4B-A813-3E4E2E1A1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819344"/>
        <c:axId val="1627764496"/>
      </c:scatterChart>
      <c:valAx>
        <c:axId val="180681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64496"/>
        <c:crosses val="autoZero"/>
        <c:crossBetween val="midCat"/>
      </c:valAx>
      <c:valAx>
        <c:axId val="162776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81934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12" Type="http://schemas.openxmlformats.org/officeDocument/2006/relationships/customXml" Target="../ink/ink6.xml"/><Relationship Id="rId2" Type="http://schemas.openxmlformats.org/officeDocument/2006/relationships/customXml" Target="../ink/ink1.xml"/><Relationship Id="rId1" Type="http://schemas.openxmlformats.org/officeDocument/2006/relationships/chart" Target="../charts/chart1.xml"/><Relationship Id="rId6" Type="http://schemas.openxmlformats.org/officeDocument/2006/relationships/customXml" Target="../ink/ink3.xml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47</xdr:row>
      <xdr:rowOff>2645</xdr:rowOff>
    </xdr:from>
    <xdr:to>
      <xdr:col>10</xdr:col>
      <xdr:colOff>203200</xdr:colOff>
      <xdr:row>61</xdr:row>
      <xdr:rowOff>83078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02E42F-BCE6-4857-9EB9-4FFD93688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547446</xdr:colOff>
      <xdr:row>49</xdr:row>
      <xdr:rowOff>156445</xdr:rowOff>
    </xdr:from>
    <xdr:to>
      <xdr:col>7</xdr:col>
      <xdr:colOff>547806</xdr:colOff>
      <xdr:row>49</xdr:row>
      <xdr:rowOff>156805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EF54189-B81B-D29B-FC8F-F2FE956FB3CA}"/>
                </a:ext>
              </a:extLst>
            </xdr14:cNvPr>
            <xdr14:cNvContentPartPr/>
          </xdr14:nvContentPartPr>
          <xdr14:nvPr macro=""/>
          <xdr14:xfrm>
            <a:off x="5457240" y="94719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EF54189-B81B-D29B-FC8F-F2FE956FB3C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451120" y="9465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304874</xdr:colOff>
      <xdr:row>52</xdr:row>
      <xdr:rowOff>26514</xdr:rowOff>
    </xdr:from>
    <xdr:to>
      <xdr:col>5</xdr:col>
      <xdr:colOff>381554</xdr:colOff>
      <xdr:row>52</xdr:row>
      <xdr:rowOff>122482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E6C849F-698E-ED4B-109B-06B74F68FC5A}"/>
                </a:ext>
              </a:extLst>
            </xdr14:cNvPr>
            <xdr14:cNvContentPartPr/>
          </xdr14:nvContentPartPr>
          <xdr14:nvPr macro=""/>
          <xdr14:xfrm>
            <a:off x="3949774" y="9983314"/>
            <a:ext cx="76680" cy="95968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E6C849F-698E-ED4B-109B-06B74F68FC5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943654" y="9976866"/>
              <a:ext cx="88920" cy="1088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189987</xdr:colOff>
      <xdr:row>56</xdr:row>
      <xdr:rowOff>147672</xdr:rowOff>
    </xdr:from>
    <xdr:to>
      <xdr:col>7</xdr:col>
      <xdr:colOff>285747</xdr:colOff>
      <xdr:row>57</xdr:row>
      <xdr:rowOff>70507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D5296E13-2C3E-09FC-2B72-088F560B3BE5}"/>
                </a:ext>
              </a:extLst>
            </xdr14:cNvPr>
            <xdr14:cNvContentPartPr/>
          </xdr14:nvContentPartPr>
          <xdr14:nvPr macro=""/>
          <xdr14:xfrm>
            <a:off x="5409547" y="10754265"/>
            <a:ext cx="95760" cy="111242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D5296E13-2C3E-09FC-2B72-088F560B3BE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403427" y="10748044"/>
              <a:ext cx="108000" cy="123684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365555</xdr:colOff>
      <xdr:row>48</xdr:row>
      <xdr:rowOff>103041</xdr:rowOff>
    </xdr:from>
    <xdr:to>
      <xdr:col>9</xdr:col>
      <xdr:colOff>555311</xdr:colOff>
      <xdr:row>65</xdr:row>
      <xdr:rowOff>3160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D024FF1-82FE-2FE4-D05E-34EA2E17A19D}"/>
            </a:ext>
          </a:extLst>
        </xdr:cNvPr>
        <xdr:cNvSpPr/>
      </xdr:nvSpPr>
      <xdr:spPr>
        <a:xfrm>
          <a:off x="4001104" y="9202382"/>
          <a:ext cx="3113548" cy="310303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279122</xdr:colOff>
      <xdr:row>47</xdr:row>
      <xdr:rowOff>132584</xdr:rowOff>
    </xdr:from>
    <xdr:to>
      <xdr:col>5</xdr:col>
      <xdr:colOff>586155</xdr:colOff>
      <xdr:row>57</xdr:row>
      <xdr:rowOff>146540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40A4857-70FD-D44A-9BAD-CA5AC5B59889}"/>
            </a:ext>
          </a:extLst>
        </xdr:cNvPr>
        <xdr:cNvSpPr/>
      </xdr:nvSpPr>
      <xdr:spPr>
        <a:xfrm>
          <a:off x="2288792" y="9043518"/>
          <a:ext cx="1932912" cy="189802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269183</xdr:colOff>
      <xdr:row>55</xdr:row>
      <xdr:rowOff>124288</xdr:rowOff>
    </xdr:from>
    <xdr:to>
      <xdr:col>7</xdr:col>
      <xdr:colOff>531520</xdr:colOff>
      <xdr:row>56</xdr:row>
      <xdr:rowOff>187399</xdr:rowOff>
    </xdr:to>
    <xdr:sp macro="" textlink="">
      <xdr:nvSpPr>
        <xdr:cNvPr id="16" name="Cross 15">
          <a:extLst>
            <a:ext uri="{FF2B5EF4-FFF2-40B4-BE49-F238E27FC236}">
              <a16:creationId xmlns:a16="http://schemas.microsoft.com/office/drawing/2014/main" id="{CBE7E963-FC3F-4D8E-1B04-638D90AF4C3E}"/>
            </a:ext>
          </a:extLst>
        </xdr:cNvPr>
        <xdr:cNvSpPr/>
      </xdr:nvSpPr>
      <xdr:spPr>
        <a:xfrm rot="2700000">
          <a:off x="5494153" y="10537065"/>
          <a:ext cx="251517" cy="262337"/>
        </a:xfrm>
        <a:prstGeom prst="plus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77292</xdr:colOff>
      <xdr:row>52</xdr:row>
      <xdr:rowOff>49271</xdr:rowOff>
    </xdr:from>
    <xdr:to>
      <xdr:col>4</xdr:col>
      <xdr:colOff>333954</xdr:colOff>
      <xdr:row>53</xdr:row>
      <xdr:rowOff>113228</xdr:rowOff>
    </xdr:to>
    <xdr:sp macro="" textlink="">
      <xdr:nvSpPr>
        <xdr:cNvPr id="17" name="Cross 16">
          <a:extLst>
            <a:ext uri="{FF2B5EF4-FFF2-40B4-BE49-F238E27FC236}">
              <a16:creationId xmlns:a16="http://schemas.microsoft.com/office/drawing/2014/main" id="{C3A2B6D3-5014-9544-85D1-D187DE849256}"/>
            </a:ext>
          </a:extLst>
        </xdr:cNvPr>
        <xdr:cNvSpPr/>
      </xdr:nvSpPr>
      <xdr:spPr>
        <a:xfrm rot="2700000">
          <a:off x="3205595" y="9900089"/>
          <a:ext cx="252364" cy="256662"/>
        </a:xfrm>
        <a:prstGeom prst="plus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</xdr:col>
      <xdr:colOff>237531</xdr:colOff>
      <xdr:row>52</xdr:row>
      <xdr:rowOff>77330</xdr:rowOff>
    </xdr:from>
    <xdr:to>
      <xdr:col>5</xdr:col>
      <xdr:colOff>261362</xdr:colOff>
      <xdr:row>53</xdr:row>
      <xdr:rowOff>50285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2C194A8-1F49-47F9-0D4E-E0112B681FAA}"/>
                </a:ext>
              </a:extLst>
            </xdr14:cNvPr>
            <xdr14:cNvContentPartPr/>
          </xdr14:nvContentPartPr>
          <xdr14:nvPr macro=""/>
          <xdr14:xfrm>
            <a:off x="3378600" y="9965880"/>
            <a:ext cx="532800" cy="16200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92C194A8-1F49-47F9-0D4E-E0112B681FA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372472" y="9959663"/>
              <a:ext cx="545057" cy="1744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283878</xdr:colOff>
      <xdr:row>56</xdr:row>
      <xdr:rowOff>56267</xdr:rowOff>
    </xdr:from>
    <xdr:to>
      <xdr:col>7</xdr:col>
      <xdr:colOff>369558</xdr:colOff>
      <xdr:row>57</xdr:row>
      <xdr:rowOff>16261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99FA5796-2457-CD11-0A30-E319CDB95FBC}"/>
                </a:ext>
              </a:extLst>
            </xdr14:cNvPr>
            <xdr14:cNvContentPartPr/>
          </xdr14:nvContentPartPr>
          <xdr14:nvPr macro=""/>
          <xdr14:xfrm>
            <a:off x="5523840" y="10701000"/>
            <a:ext cx="85680" cy="1490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99FA5796-2457-CD11-0A30-E319CDB95FB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517720" y="10694775"/>
              <a:ext cx="97920" cy="161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325638</xdr:colOff>
      <xdr:row>56</xdr:row>
      <xdr:rowOff>39707</xdr:rowOff>
    </xdr:from>
    <xdr:to>
      <xdr:col>7</xdr:col>
      <xdr:colOff>397998</xdr:colOff>
      <xdr:row>56</xdr:row>
      <xdr:rowOff>115307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654A62E9-668D-D681-B361-89C679C1D07C}"/>
                </a:ext>
              </a:extLst>
            </xdr14:cNvPr>
            <xdr14:cNvContentPartPr/>
          </xdr14:nvContentPartPr>
          <xdr14:nvPr macro=""/>
          <xdr14:xfrm>
            <a:off x="5565600" y="10684440"/>
            <a:ext cx="72360" cy="756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654A62E9-668D-D681-B361-89C679C1D07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559480" y="10678320"/>
              <a:ext cx="84600" cy="87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6:19:47.615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6:20:00.359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186 0 24575,'-8'6'0,"2"-3"0,-4 13 0,5-11 0,-2 6 0,3-7 0,1 0 0,-1 0 0,-1 1 0,1 0 0,1 0 0,-1 0 0,-1 0 0,0 1 0,0 1 0,0-1 0,0 0 0,1-2 0,1-1 0,-1 0 0,0 1 0,0 0 0,2-1 0,1 0 0,1 2 0,-1-1 0,-1 0 0,0 0 0,-1 1 0,0 0 0,0-1 0,-1 0 0,0 0 0,-1 0 0,0 1 0,2 0 0,0-1 0,-1 1 0,-1 0 0,0-1 0,1 0 0,0-2 0,1 1 0,1-1 0,-1 0 0,1 0 0,-1 0 0,2 0 0,0-1 0</inkml:trace>
  <inkml:trace contextRef="#ctx0" brushRef="#br0" timeOffset="1361">1 59 24575,'9'8'0,"9"8"0,-3-1 0,4 3 0,-5-6 0,-2 1 0,0-1 0,2 0 0,-1-1 0,-2-1 0,0 0 0,-1-1 0,-2-1 0,-2-2 0,-1-2 0,-1 1 0,1 0 0,0 0 0,0-1 0,0 0 0,-1-1 0,0-1 0,-3-1 0,1-1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6:19:50.849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228 1 24575,'-3'7'0,"2"-1"0,-2 1 0,2 0 0,-1 0 0,-1 1 0,2-2 0,-1 0 0,1-1 0,-1-1 0,-1 1 0,0 0 0,0 0 0,1 1 0,-2-1 0,1 0 0,-1 0 0,1 0 0,0 1 0,-1 1 0,0 0 0,1-2 0,-1 1 0,1-1 0,1 1 0,0-1 0,0 0 0,0-2 0,-1 0 0,1 0 0,-1 1 0,0 1 0,-1-1 0,1 0 0,0 0 0,0 0 0,-1-1 0,1 0 0,0 0 0,-1-1 0,0 2 0,-1-1 0,0 1 0,2-1 0,0 0 0,1 0 0,-1 0 0,-1 1 0,0-1 0,-1 1 0,1-1 0,1-1 0,1 1 0,-1 0 0,0-1 0,1 1 0,0 1 0,0 0 0,1-1 0,-1 0 0,0 0 0,-1 0 0,1 1 0,-1-2 0,0 0 0,1 1 0,0-1 0,0 1 0,1 1 0,-1-2 0,0 2 0,1-2 0,0 0 0,1 0 0,0-2 0</inkml:trace>
  <inkml:trace contextRef="#ctx0" brushRef="#br0" timeOffset="1866">1 85 24575,'9'1'0,"1"4"0,-1 0 0,-1 2 0,-1-1 0,0 0 0,0-1 0,-1 0 0,0 0 0,-1 0 0,0 0 0,1-1 0,-1 0 0,0-1 0,-1 1 0,0 0 0,1 0 0,0-1 0,1 1 0,-1 1 0,1 0 0,-1-1 0,0 0 0,-2-1 0,0-1 0,0 1 0,2 1 0,0 0 0,1 1 0,-1 0 0,1 0 0,-1 0 0,-1 0 0,1-2 0,0 0 0,-1 0 0,1 0 0,-1-1 0,-1 1 0,0-1 0,-1 1 0,1 0 0,-1-1 0,1 0 0,-1 0 0,1 0 0,-1 0 0,0 0 0,0 0 0,0 0 0,1 0 0,0 0 0,0 0 0,0 0 0,0-1 0,-1 1 0,0 1 0,1-2 0,0 1 0,-1-2 0,-1 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6:55:25.74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1478 0 24575,'-6'0'0,"0"0"0,-2 0 0,-2 0 0,-2 0 0,2 0 0,-2 0 0,2 0 0,0 1 0,-1 0 0,2 2 0,-1-1 0,0 0 0,1 1 0,-1 0 0,0 0 0,-1-1 0,0 0 0,0 2 0,1-2 0,-2 2 0,0 0 0,0-1 0,2 0 0,1-1 0,1 0 0,-1 1 0,-1 0 0,0 0 0,0 0 0,0-1 0,-2 2 0,0-1 0,2 0 0,2 0 0,1-1 0,-1 1 0,-1-1 0,-1 1 0,0 0 0,0 0 0,0 1 0,1-2 0,2 0 0,0 0 0,0 0 0,-3 0 0,-2 0 0,0 0 0,1 0 0,0 0 0,1 0 0,0 0 0,0 0 0,1-1 0,1 1 0,-1 0 0,1 0 0,-2 1 0,1-2 0,0 1 0,1 0 0,0 0 0,0 0 0,1 0 0,1-1 0,-1 1 0,-1 1 0,1-2 0,-1 1 0,1 0 0,-1-1 0,1 1 0,2-1 0,-2 0 0,2 1 0,-1-2 0,0 1 0,1 1 0,-1-1 0,0 0 0,0 1 0,-1-1 0,2 1 0,-1 0 0,2-1 0,-1 1 0,0-1 0,-1 0 0,-1 1 0,0-1 0,0 1 0,0 0 0,0 0 0,0 0 0,1-1 0,0 2 0,0-1 0,0 1 0,-2-1 0,1 1 0,-2-1 0,1-1 0,1 1 0,-1-1 0,2 1 0,-1 0 0,0 0 0,-1 0 0,-1 0 0,1 1 0,-1-1 0,0 1 0,1-1 0,-1 0 0,1 0 0,0 0 0,-1 0 0,-1 1 0,0-1 0,0 1 0,0 0 0,0 1 0,0-2 0,0 1 0,1-1 0,1 1 0,-1 0 0,0-1 0,-1 0 0,-1 0 0,-1 0 0,0 0 0,0 1 0,2-1 0,2 1 0,-2-2 0,0 1 0,-1-1 0,-1 1 0,2 0 0,-1 0 0,1 0 0,0-1 0,0 2 0,2-1 0,-1 0 0,1 0 0,0 0 0,-1 0 0,1 0 0,0 0 0,0 0 0,0 0 0,1-1 0,0 1 0,1-1 0,1-1 0,-1 1 0,0 0 0,0 0 0,1-1 0,0 0 0,1 0 0,0 1 0,1 0 0,-1 0 0,1 0 0,-1-1 0,0 1 0,0 0 0,0 0 0,0 0 0,0-1 0,1 0 0,-1 0 0,1 0 0,-1 0 0,0 0 0,0 0 0,1 0 0,0-1 0,2 0 0,2-2 0,1 0 0,1 0 0,0 0 0,0-1 0,-1 1 0,1-1 0,-1 0 0,1 0 0,0 0 0,0 0 0,0 1 0,0-1 0,0 1 0,-1 0 0,1-1 0,0-1 0,0-1 0,0 0 0,-1 1 0,1 1 0,-1 1 0,0-1 0,-1 1 0,1 0 0,0 0 0,0 0 0,0 0 0,-1 1 0,0 0 0,0 1 0</inkml:trace>
  <inkml:trace contextRef="#ctx0" brushRef="#br0" timeOffset="1688">1 362 24575,'4'4'0,"0"0"0,1 0 0,0 0 0,-1 0 0,-1-1 0,1 1 0,0-1 0,0 0 0,0 0 0,-1-1 0,1 1 0,0 0 0,0-1 0,-1 0 0,-1 0 0,1 0 0,0 0 0,0 1 0,1-1 0,-1 0 0,1-1 0,-1 0 0,0 0 0,1 1 0,0 0 0,0 0 0,-1 0 0,0-1 0,0 1 0,-1 0 0,1-1 0,-1 0 0,1-1 0,-1 1 0,-2-1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6:55:30.54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1 407 24575,'0'-4'0,"0"-1"0,0 0 0,0-3 0,0-1 0,0-1 0,1-1 0,3-1 0,1 0 0,3-1 0,0 0 0,-1 0 0,2-3 0,0 1 0,2-3 0,1 1 0,0 1 0,-1 0 0,0 2 0,-1 2 0,-2-1 0,0 0 0,1-1 0,1-1 0,-1 1 0,1 1 0,-2 1 0,-1 2 0,-1 1 0,-2 3 0,-1 0 0,1 2 0,0-1 0,0 0 0,0 2 0,-1 0 0,0-1 0,0 1 0,-1-1 0,0 0 0,0 1 0,0 0 0,0 2 0,-1 1 0,0 2 0,-2 1 0,0 1 0,-1 0 0,0 0 0,1 0 0,0 0 0,0-1 0,1-1 0,-1-1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6:55:36.69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3 24575,'6'0'0,"1"0"0,3 0 0,-2 0 0,2 0 0,1 0 0,-1 0 0,0 0 0,-1 0 0,0 0 0,3 0 0,1 0 0,-1 0 0,-1 0 0,-2 0 0,0 0 0,-2 0 0,-2 0 0,-2 0 0,0 0 0,1 0 0,0 0 0,-1 0 0,0-1 0,-1-1 0,-3 2 0,0 1 0,-2 2 0,1 0 0,-1 1 0,1 0 0,0 2 0,0 0 0,0 1 0,1 0 0,1 1 0,0 1 0,0 0 0,0 0 0,0 1 0,0 0 0,0 1 0,1 0 0,0 0 0,1-1 0,2 0 0,-2-1 0,2-1 0,-2-2 0,0-1 0,0 0 0,-1-2 0,1 1 0,-1 0 0,0 0 0,1 0 0,-1-2 0,0 1 0,-1-2 0,0 1 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DFE0-2C09-411F-B33D-50CF69B0CAAD}">
  <dimension ref="B1:T46"/>
  <sheetViews>
    <sheetView tabSelected="1" zoomScale="83" zoomScaleNormal="192" workbookViewId="0">
      <selection activeCell="D45" sqref="D45"/>
    </sheetView>
  </sheetViews>
  <sheetFormatPr baseColWidth="10" defaultColWidth="8.83203125" defaultRowHeight="15" x14ac:dyDescent="0.2"/>
  <cols>
    <col min="4" max="4" width="14.6640625" customWidth="1"/>
    <col min="5" max="5" width="6.6640625" customWidth="1"/>
    <col min="6" max="6" width="12" customWidth="1"/>
    <col min="13" max="13" width="15.1640625" customWidth="1"/>
    <col min="15" max="15" width="11.5" customWidth="1"/>
  </cols>
  <sheetData>
    <row r="1" spans="2:20" ht="17" thickBot="1" x14ac:dyDescent="0.25">
      <c r="B1" s="13" t="s">
        <v>10</v>
      </c>
      <c r="C1" s="13"/>
      <c r="D1" s="14" t="s">
        <v>11</v>
      </c>
      <c r="E1" s="15"/>
      <c r="F1" s="15"/>
      <c r="G1" s="15"/>
      <c r="H1" s="15"/>
      <c r="I1" s="15"/>
      <c r="J1" s="15"/>
      <c r="K1" s="16"/>
    </row>
    <row r="2" spans="2:20" ht="16" thickBot="1" x14ac:dyDescent="0.25">
      <c r="F2" s="3"/>
      <c r="G2" s="3">
        <v>1</v>
      </c>
      <c r="H2" s="3">
        <v>2</v>
      </c>
      <c r="M2" t="s">
        <v>5</v>
      </c>
      <c r="O2" s="17" t="s">
        <v>17</v>
      </c>
      <c r="P2" s="18"/>
    </row>
    <row r="3" spans="2:20" x14ac:dyDescent="0.2">
      <c r="B3" s="2" t="s">
        <v>0</v>
      </c>
      <c r="C3" s="2" t="s">
        <v>1</v>
      </c>
      <c r="D3" s="2" t="s">
        <v>2</v>
      </c>
      <c r="F3" s="3" t="s">
        <v>9</v>
      </c>
      <c r="G3" s="1">
        <f>AVERAGEIF(D4:D13, 1, B4:B13)</f>
        <v>2.6</v>
      </c>
      <c r="H3" s="1">
        <f>AVERAGEIF(D4:D13, 2, B4:B13)</f>
        <v>3.2</v>
      </c>
      <c r="J3" s="2" t="s">
        <v>3</v>
      </c>
      <c r="K3" s="2">
        <v>1</v>
      </c>
      <c r="L3" s="2">
        <v>2</v>
      </c>
      <c r="M3" s="2" t="s">
        <v>4</v>
      </c>
      <c r="O3" s="19" t="s">
        <v>12</v>
      </c>
      <c r="P3" s="20"/>
      <c r="Q3" s="20"/>
      <c r="R3" s="20"/>
      <c r="S3" s="20"/>
      <c r="T3" s="21"/>
    </row>
    <row r="4" spans="2:20" x14ac:dyDescent="0.2">
      <c r="B4" s="1">
        <v>5</v>
      </c>
      <c r="C4" s="1">
        <v>0</v>
      </c>
      <c r="D4" s="1">
        <v>1</v>
      </c>
      <c r="F4" s="3" t="s">
        <v>8</v>
      </c>
      <c r="G4" s="1">
        <f>AVERAGEIF(D4:D13, 1, C4:C13)</f>
        <v>1.4</v>
      </c>
      <c r="H4" s="1">
        <f>AVERAGEIF(D4:D13, 2, C4:C13)</f>
        <v>3</v>
      </c>
      <c r="J4" s="4"/>
      <c r="K4" s="5">
        <f>((B4-$G$3)^2 + (C4-$G$4)^2)</f>
        <v>7.72</v>
      </c>
      <c r="L4" s="5">
        <f>((B4-$H$3)^2 + (C4-$H$4)^2)</f>
        <v>12.239999999999998</v>
      </c>
      <c r="M4" s="5">
        <f>IF(K4&lt;L4,1,2)</f>
        <v>1</v>
      </c>
      <c r="O4" s="22" t="s">
        <v>16</v>
      </c>
      <c r="P4" s="23"/>
      <c r="Q4" s="23"/>
      <c r="R4" s="23"/>
      <c r="S4" s="23"/>
      <c r="T4" s="6"/>
    </row>
    <row r="5" spans="2:20" x14ac:dyDescent="0.2">
      <c r="B5" s="1">
        <v>5</v>
      </c>
      <c r="C5" s="1">
        <v>2</v>
      </c>
      <c r="D5" s="1">
        <v>2</v>
      </c>
      <c r="J5" s="4"/>
      <c r="K5" s="5">
        <f t="shared" ref="K5:K13" si="0">((B5-$G$3)^2 + (C5-$G$4)^2)</f>
        <v>6.12</v>
      </c>
      <c r="L5" s="5">
        <f t="shared" ref="L5:L13" si="1">((B5-$H$3)^2 + (C5-$H$4)^2)</f>
        <v>4.2399999999999993</v>
      </c>
      <c r="M5" s="5">
        <f t="shared" ref="M5:M13" si="2">IF(K5&lt;L5,1,2)</f>
        <v>2</v>
      </c>
      <c r="O5" s="7" t="s">
        <v>13</v>
      </c>
      <c r="P5" s="8"/>
      <c r="Q5" s="8"/>
      <c r="R5" s="8"/>
      <c r="S5" s="8"/>
      <c r="T5" s="6"/>
    </row>
    <row r="6" spans="2:20" x14ac:dyDescent="0.2">
      <c r="B6" s="1">
        <v>3</v>
      </c>
      <c r="C6" s="1">
        <v>1</v>
      </c>
      <c r="D6" s="1">
        <v>1</v>
      </c>
      <c r="J6" s="4"/>
      <c r="K6" s="5">
        <f t="shared" si="0"/>
        <v>0.31999999999999984</v>
      </c>
      <c r="L6" s="5">
        <f t="shared" si="1"/>
        <v>4.04</v>
      </c>
      <c r="M6" s="5">
        <f t="shared" si="2"/>
        <v>1</v>
      </c>
      <c r="O6" s="7" t="s">
        <v>14</v>
      </c>
      <c r="P6" s="8"/>
      <c r="Q6" s="8"/>
      <c r="R6" s="8"/>
      <c r="S6" s="8"/>
      <c r="T6" s="6"/>
    </row>
    <row r="7" spans="2:20" ht="16" thickBot="1" x14ac:dyDescent="0.25">
      <c r="B7" s="1">
        <v>0</v>
      </c>
      <c r="C7" s="1">
        <v>4</v>
      </c>
      <c r="D7" s="1">
        <v>2</v>
      </c>
      <c r="J7" s="4"/>
      <c r="K7" s="5">
        <f t="shared" si="0"/>
        <v>13.520000000000001</v>
      </c>
      <c r="L7" s="5">
        <f t="shared" si="1"/>
        <v>11.240000000000002</v>
      </c>
      <c r="M7" s="5">
        <f t="shared" si="2"/>
        <v>2</v>
      </c>
      <c r="O7" s="9" t="s">
        <v>15</v>
      </c>
      <c r="P7" s="10"/>
      <c r="Q7" s="10"/>
      <c r="R7" s="10"/>
      <c r="S7" s="10"/>
      <c r="T7" s="11"/>
    </row>
    <row r="8" spans="2:20" x14ac:dyDescent="0.2">
      <c r="B8" s="1">
        <v>2</v>
      </c>
      <c r="C8" s="1">
        <v>1</v>
      </c>
      <c r="D8" s="1">
        <v>1</v>
      </c>
      <c r="J8" s="4"/>
      <c r="K8" s="5">
        <f t="shared" si="0"/>
        <v>0.52</v>
      </c>
      <c r="L8" s="5">
        <f t="shared" si="1"/>
        <v>5.44</v>
      </c>
      <c r="M8" s="5">
        <f t="shared" si="2"/>
        <v>1</v>
      </c>
    </row>
    <row r="9" spans="2:20" x14ac:dyDescent="0.2">
      <c r="B9" s="1">
        <v>4</v>
      </c>
      <c r="C9" s="1">
        <v>2</v>
      </c>
      <c r="D9" s="1">
        <v>2</v>
      </c>
      <c r="J9" s="4"/>
      <c r="K9" s="5">
        <f t="shared" si="0"/>
        <v>2.3199999999999998</v>
      </c>
      <c r="L9" s="5">
        <f t="shared" si="1"/>
        <v>1.6399999999999997</v>
      </c>
      <c r="M9" s="5">
        <f t="shared" si="2"/>
        <v>2</v>
      </c>
      <c r="O9" s="3"/>
      <c r="P9" s="3">
        <v>1</v>
      </c>
      <c r="Q9" s="3">
        <v>2</v>
      </c>
    </row>
    <row r="10" spans="2:20" x14ac:dyDescent="0.2">
      <c r="B10" s="1">
        <v>2</v>
      </c>
      <c r="C10" s="1">
        <v>2</v>
      </c>
      <c r="D10" s="1">
        <v>1</v>
      </c>
      <c r="J10" s="4"/>
      <c r="K10" s="5">
        <f t="shared" si="0"/>
        <v>0.7200000000000002</v>
      </c>
      <c r="L10" s="5">
        <f t="shared" si="1"/>
        <v>2.4400000000000004</v>
      </c>
      <c r="M10" s="5">
        <f t="shared" si="2"/>
        <v>1</v>
      </c>
      <c r="O10" s="3" t="s">
        <v>9</v>
      </c>
      <c r="P10" s="12">
        <f>AVERAGEIF(D4:D13, "=1", B4:B13)</f>
        <v>2.6</v>
      </c>
      <c r="Q10" s="12">
        <f>AVERAGEIF(D4:D13, "=2", B4:B13)</f>
        <v>3.2</v>
      </c>
    </row>
    <row r="11" spans="2:20" x14ac:dyDescent="0.2">
      <c r="B11" s="1">
        <v>2</v>
      </c>
      <c r="C11" s="1">
        <v>3</v>
      </c>
      <c r="D11" s="1">
        <v>2</v>
      </c>
      <c r="J11" s="4"/>
      <c r="K11" s="5">
        <f t="shared" si="0"/>
        <v>2.9200000000000008</v>
      </c>
      <c r="L11" s="5">
        <f t="shared" si="1"/>
        <v>1.4400000000000004</v>
      </c>
      <c r="M11" s="5">
        <f t="shared" si="2"/>
        <v>2</v>
      </c>
      <c r="O11" s="3" t="s">
        <v>8</v>
      </c>
      <c r="P11" s="12">
        <f>AVERAGEIF(D4:D13, "=1", C4:C13)</f>
        <v>1.4</v>
      </c>
      <c r="Q11" s="12">
        <f>AVERAGEIF(D4:D13, "=2", C4:C13)</f>
        <v>3</v>
      </c>
    </row>
    <row r="12" spans="2:20" x14ac:dyDescent="0.2">
      <c r="B12" s="1">
        <v>1</v>
      </c>
      <c r="C12" s="1">
        <v>3</v>
      </c>
      <c r="D12" s="1">
        <v>1</v>
      </c>
      <c r="J12" s="4"/>
      <c r="K12" s="5">
        <f t="shared" si="0"/>
        <v>5.120000000000001</v>
      </c>
      <c r="L12" s="5">
        <f t="shared" si="1"/>
        <v>4.8400000000000007</v>
      </c>
      <c r="M12" s="5">
        <f t="shared" si="2"/>
        <v>2</v>
      </c>
    </row>
    <row r="13" spans="2:20" x14ac:dyDescent="0.2">
      <c r="B13" s="1">
        <v>5</v>
      </c>
      <c r="C13" s="1">
        <v>4</v>
      </c>
      <c r="D13" s="1">
        <v>2</v>
      </c>
      <c r="J13" s="4"/>
      <c r="K13" s="5">
        <f t="shared" si="0"/>
        <v>12.52</v>
      </c>
      <c r="L13" s="5">
        <f t="shared" si="1"/>
        <v>4.2399999999999993</v>
      </c>
      <c r="M13" s="5">
        <f t="shared" si="2"/>
        <v>2</v>
      </c>
    </row>
    <row r="15" spans="2:20" x14ac:dyDescent="0.2">
      <c r="F15" s="3"/>
      <c r="G15" s="3">
        <v>1</v>
      </c>
      <c r="H15" s="3">
        <v>2</v>
      </c>
      <c r="M15" t="s">
        <v>6</v>
      </c>
    </row>
    <row r="16" spans="2:20" x14ac:dyDescent="0.2">
      <c r="B16" s="2" t="s">
        <v>0</v>
      </c>
      <c r="C16" s="2" t="s">
        <v>1</v>
      </c>
      <c r="D16" s="2" t="s">
        <v>2</v>
      </c>
      <c r="F16" s="3" t="s">
        <v>9</v>
      </c>
      <c r="G16" s="1">
        <f>AVERAGEIF(D17:D26, 1, B17:B26)</f>
        <v>3</v>
      </c>
      <c r="H16" s="1">
        <f>AVERAGEIF(D17:D26, 2, B17:B26)</f>
        <v>2.8333333333333335</v>
      </c>
      <c r="J16" s="2" t="s">
        <v>3</v>
      </c>
      <c r="K16" s="2">
        <v>1</v>
      </c>
      <c r="L16" s="2">
        <v>2</v>
      </c>
      <c r="M16" s="2" t="s">
        <v>4</v>
      </c>
    </row>
    <row r="17" spans="2:13" x14ac:dyDescent="0.2">
      <c r="B17" s="1">
        <v>5</v>
      </c>
      <c r="C17" s="1">
        <v>0</v>
      </c>
      <c r="D17" s="5">
        <v>1</v>
      </c>
      <c r="F17" s="3" t="s">
        <v>8</v>
      </c>
      <c r="G17" s="1">
        <f>AVERAGEIF(D17:D26, 1, C17:C26)</f>
        <v>1</v>
      </c>
      <c r="H17" s="1">
        <f>AVERAGEIF(D17:D26, 2, C17:C26)</f>
        <v>3</v>
      </c>
      <c r="J17" s="4"/>
      <c r="K17" s="5">
        <f>((B17-$G$16)^2 + (C17-$G$17)^2)</f>
        <v>5</v>
      </c>
      <c r="L17" s="5">
        <f>((B17-$H$16)^2 + (C17-$H$17)^2)</f>
        <v>13.694444444444443</v>
      </c>
      <c r="M17" s="5">
        <f>IF(K17&lt;L17,1,2)</f>
        <v>1</v>
      </c>
    </row>
    <row r="18" spans="2:13" x14ac:dyDescent="0.2">
      <c r="B18" s="1">
        <v>5</v>
      </c>
      <c r="C18" s="1">
        <v>2</v>
      </c>
      <c r="D18" s="5">
        <v>2</v>
      </c>
      <c r="J18" s="4"/>
      <c r="K18" s="5">
        <f t="shared" ref="K18:K26" si="3">((B18-$G$16)^2 + (C18-$G$17)^2)</f>
        <v>5</v>
      </c>
      <c r="L18" s="5">
        <f t="shared" ref="L18:L26" si="4">((B18-$H$16)^2 + (C18-$H$17)^2)</f>
        <v>5.6944444444444438</v>
      </c>
      <c r="M18" s="5">
        <f t="shared" ref="M18:M26" si="5">IF(K18&lt;L18,1,2)</f>
        <v>1</v>
      </c>
    </row>
    <row r="19" spans="2:13" x14ac:dyDescent="0.2">
      <c r="B19" s="1">
        <v>3</v>
      </c>
      <c r="C19" s="1">
        <v>1</v>
      </c>
      <c r="D19" s="5">
        <v>1</v>
      </c>
      <c r="J19" s="4"/>
      <c r="K19" s="5">
        <f t="shared" si="3"/>
        <v>0</v>
      </c>
      <c r="L19" s="5">
        <f t="shared" si="4"/>
        <v>4.0277777777777777</v>
      </c>
      <c r="M19" s="5">
        <f t="shared" si="5"/>
        <v>1</v>
      </c>
    </row>
    <row r="20" spans="2:13" x14ac:dyDescent="0.2">
      <c r="B20" s="1">
        <v>0</v>
      </c>
      <c r="C20" s="1">
        <v>4</v>
      </c>
      <c r="D20" s="5">
        <v>2</v>
      </c>
      <c r="J20" s="4"/>
      <c r="K20" s="5">
        <f t="shared" si="3"/>
        <v>18</v>
      </c>
      <c r="L20" s="5">
        <f t="shared" si="4"/>
        <v>9.0277777777777786</v>
      </c>
      <c r="M20" s="5">
        <f t="shared" si="5"/>
        <v>2</v>
      </c>
    </row>
    <row r="21" spans="2:13" x14ac:dyDescent="0.2">
      <c r="B21" s="1">
        <v>2</v>
      </c>
      <c r="C21" s="1">
        <v>1</v>
      </c>
      <c r="D21" s="5">
        <v>1</v>
      </c>
      <c r="J21" s="4"/>
      <c r="K21" s="5">
        <f t="shared" si="3"/>
        <v>1</v>
      </c>
      <c r="L21" s="5">
        <f t="shared" si="4"/>
        <v>4.6944444444444446</v>
      </c>
      <c r="M21" s="5">
        <f t="shared" si="5"/>
        <v>1</v>
      </c>
    </row>
    <row r="22" spans="2:13" x14ac:dyDescent="0.2">
      <c r="B22" s="1">
        <v>4</v>
      </c>
      <c r="C22" s="1">
        <v>2</v>
      </c>
      <c r="D22" s="5">
        <v>2</v>
      </c>
      <c r="J22" s="4"/>
      <c r="K22" s="5">
        <f t="shared" si="3"/>
        <v>2</v>
      </c>
      <c r="L22" s="5">
        <f t="shared" si="4"/>
        <v>2.3611111111111107</v>
      </c>
      <c r="M22" s="5">
        <f t="shared" si="5"/>
        <v>1</v>
      </c>
    </row>
    <row r="23" spans="2:13" x14ac:dyDescent="0.2">
      <c r="B23" s="1">
        <v>2</v>
      </c>
      <c r="C23" s="1">
        <v>2</v>
      </c>
      <c r="D23" s="5">
        <v>1</v>
      </c>
      <c r="J23" s="4"/>
      <c r="K23" s="5">
        <f t="shared" si="3"/>
        <v>2</v>
      </c>
      <c r="L23" s="5">
        <f t="shared" si="4"/>
        <v>1.6944444444444446</v>
      </c>
      <c r="M23" s="5">
        <f t="shared" si="5"/>
        <v>2</v>
      </c>
    </row>
    <row r="24" spans="2:13" x14ac:dyDescent="0.2">
      <c r="B24" s="1">
        <v>2</v>
      </c>
      <c r="C24" s="1">
        <v>3</v>
      </c>
      <c r="D24" s="5">
        <v>2</v>
      </c>
      <c r="J24" s="4"/>
      <c r="K24" s="5">
        <f t="shared" si="3"/>
        <v>5</v>
      </c>
      <c r="L24" s="5">
        <f t="shared" si="4"/>
        <v>0.69444444444444464</v>
      </c>
      <c r="M24" s="5">
        <f t="shared" si="5"/>
        <v>2</v>
      </c>
    </row>
    <row r="25" spans="2:13" x14ac:dyDescent="0.2">
      <c r="B25" s="1">
        <v>1</v>
      </c>
      <c r="C25" s="1">
        <v>3</v>
      </c>
      <c r="D25" s="5">
        <v>2</v>
      </c>
      <c r="J25" s="4"/>
      <c r="K25" s="5">
        <f t="shared" si="3"/>
        <v>8</v>
      </c>
      <c r="L25" s="5">
        <f t="shared" si="4"/>
        <v>3.3611111111111116</v>
      </c>
      <c r="M25" s="5">
        <f t="shared" si="5"/>
        <v>2</v>
      </c>
    </row>
    <row r="26" spans="2:13" x14ac:dyDescent="0.2">
      <c r="B26" s="1">
        <v>5</v>
      </c>
      <c r="C26" s="1">
        <v>4</v>
      </c>
      <c r="D26" s="5">
        <v>2</v>
      </c>
      <c r="J26" s="4"/>
      <c r="K26" s="5">
        <f t="shared" si="3"/>
        <v>13</v>
      </c>
      <c r="L26" s="5">
        <f t="shared" si="4"/>
        <v>5.6944444444444438</v>
      </c>
      <c r="M26" s="5">
        <f t="shared" si="5"/>
        <v>2</v>
      </c>
    </row>
    <row r="28" spans="2:13" x14ac:dyDescent="0.2">
      <c r="M28" t="s">
        <v>7</v>
      </c>
    </row>
    <row r="29" spans="2:13" x14ac:dyDescent="0.2">
      <c r="B29" s="2" t="s">
        <v>0</v>
      </c>
      <c r="C29" s="2" t="s">
        <v>1</v>
      </c>
      <c r="D29" s="2" t="s">
        <v>2</v>
      </c>
      <c r="F29" s="3"/>
      <c r="G29" s="3">
        <v>1</v>
      </c>
      <c r="H29" s="3">
        <v>2</v>
      </c>
      <c r="J29" s="2" t="s">
        <v>3</v>
      </c>
      <c r="K29" s="2">
        <v>1</v>
      </c>
      <c r="L29" s="2">
        <v>2</v>
      </c>
      <c r="M29" s="2" t="s">
        <v>4</v>
      </c>
    </row>
    <row r="30" spans="2:13" x14ac:dyDescent="0.2">
      <c r="B30" s="1">
        <v>5</v>
      </c>
      <c r="C30" s="1">
        <v>0</v>
      </c>
      <c r="D30" s="5">
        <v>1</v>
      </c>
      <c r="F30" s="3" t="s">
        <v>9</v>
      </c>
      <c r="G30" s="1">
        <f>AVERAGEIF(D30:D39, 1, B30:B39)</f>
        <v>3.8</v>
      </c>
      <c r="H30" s="1">
        <f>AVERAGEIF(D30:D39, 2, B30:B39)</f>
        <v>2</v>
      </c>
      <c r="J30" s="4"/>
      <c r="K30" s="5">
        <f>((B30-$G$30)^2 + (C30-$G$31)^2)</f>
        <v>2.8800000000000003</v>
      </c>
      <c r="L30" s="5">
        <f>((B30-$H$30)^2 + (C30-$H$31)^2)</f>
        <v>19.240000000000002</v>
      </c>
      <c r="M30" s="5">
        <f>IF(K30&lt;L30,1,2)</f>
        <v>1</v>
      </c>
    </row>
    <row r="31" spans="2:13" x14ac:dyDescent="0.2">
      <c r="B31" s="1">
        <v>5</v>
      </c>
      <c r="C31" s="1">
        <v>2</v>
      </c>
      <c r="D31" s="5">
        <v>1</v>
      </c>
      <c r="F31" s="3" t="s">
        <v>8</v>
      </c>
      <c r="G31" s="1">
        <f>AVERAGEIF(D30:D39, 1, C30:C39)</f>
        <v>1.2</v>
      </c>
      <c r="H31" s="1">
        <f>AVERAGEIF(D30:D39, 2, C30:C39)</f>
        <v>3.2</v>
      </c>
      <c r="J31" s="4"/>
      <c r="K31" s="5">
        <f t="shared" ref="K31:K39" si="6">((B31-$G$30)^2 + (C31-$G$31)^2)</f>
        <v>2.0800000000000005</v>
      </c>
      <c r="L31" s="5">
        <f t="shared" ref="L31:L39" si="7">((B31-$H$30)^2 + (C31-$H$31)^2)</f>
        <v>10.440000000000001</v>
      </c>
      <c r="M31" s="5">
        <f t="shared" ref="M31:M39" si="8">IF(K31&lt;L31,1,2)</f>
        <v>1</v>
      </c>
    </row>
    <row r="32" spans="2:13" x14ac:dyDescent="0.2">
      <c r="B32" s="1">
        <v>3</v>
      </c>
      <c r="C32" s="1">
        <v>1</v>
      </c>
      <c r="D32" s="5">
        <v>1</v>
      </c>
      <c r="J32" s="4"/>
      <c r="K32" s="5">
        <f t="shared" si="6"/>
        <v>0.67999999999999972</v>
      </c>
      <c r="L32" s="5">
        <f t="shared" si="7"/>
        <v>5.8400000000000007</v>
      </c>
      <c r="M32" s="5">
        <f t="shared" si="8"/>
        <v>1</v>
      </c>
    </row>
    <row r="33" spans="2:13" x14ac:dyDescent="0.2">
      <c r="B33" s="1">
        <v>0</v>
      </c>
      <c r="C33" s="1">
        <v>4</v>
      </c>
      <c r="D33" s="5">
        <v>2</v>
      </c>
      <c r="J33" s="4"/>
      <c r="K33" s="5">
        <f t="shared" si="6"/>
        <v>22.279999999999998</v>
      </c>
      <c r="L33" s="5">
        <f t="shared" si="7"/>
        <v>4.6399999999999997</v>
      </c>
      <c r="M33" s="5">
        <f t="shared" si="8"/>
        <v>2</v>
      </c>
    </row>
    <row r="34" spans="2:13" x14ac:dyDescent="0.2">
      <c r="B34" s="1">
        <v>2</v>
      </c>
      <c r="C34" s="1">
        <v>1</v>
      </c>
      <c r="D34" s="5">
        <v>1</v>
      </c>
      <c r="J34" s="4"/>
      <c r="K34" s="5">
        <f t="shared" si="6"/>
        <v>3.2799999999999994</v>
      </c>
      <c r="L34" s="5">
        <f t="shared" si="7"/>
        <v>4.8400000000000007</v>
      </c>
      <c r="M34" s="5">
        <f t="shared" si="8"/>
        <v>1</v>
      </c>
    </row>
    <row r="35" spans="2:13" x14ac:dyDescent="0.2">
      <c r="B35" s="1">
        <v>4</v>
      </c>
      <c r="C35" s="1">
        <v>2</v>
      </c>
      <c r="D35" s="5">
        <v>1</v>
      </c>
      <c r="J35" s="4"/>
      <c r="K35" s="5">
        <f t="shared" si="6"/>
        <v>0.68000000000000016</v>
      </c>
      <c r="L35" s="5">
        <f t="shared" si="7"/>
        <v>5.44</v>
      </c>
      <c r="M35" s="5">
        <f t="shared" si="8"/>
        <v>1</v>
      </c>
    </row>
    <row r="36" spans="2:13" x14ac:dyDescent="0.2">
      <c r="B36" s="1">
        <v>2</v>
      </c>
      <c r="C36" s="1">
        <v>2</v>
      </c>
      <c r="D36" s="5">
        <v>2</v>
      </c>
      <c r="J36" s="4"/>
      <c r="K36" s="5">
        <f t="shared" si="6"/>
        <v>3.8799999999999994</v>
      </c>
      <c r="L36" s="5">
        <f t="shared" si="7"/>
        <v>1.4400000000000004</v>
      </c>
      <c r="M36" s="5">
        <f t="shared" si="8"/>
        <v>2</v>
      </c>
    </row>
    <row r="37" spans="2:13" x14ac:dyDescent="0.2">
      <c r="B37" s="1">
        <v>2</v>
      </c>
      <c r="C37" s="1">
        <v>3</v>
      </c>
      <c r="D37" s="5">
        <v>2</v>
      </c>
      <c r="J37" s="4"/>
      <c r="K37" s="5">
        <f t="shared" si="6"/>
        <v>6.4799999999999995</v>
      </c>
      <c r="L37" s="5">
        <f t="shared" si="7"/>
        <v>4.000000000000007E-2</v>
      </c>
      <c r="M37" s="5">
        <f t="shared" si="8"/>
        <v>2</v>
      </c>
    </row>
    <row r="38" spans="2:13" x14ac:dyDescent="0.2">
      <c r="B38" s="1">
        <v>1</v>
      </c>
      <c r="C38" s="1">
        <v>3</v>
      </c>
      <c r="D38" s="5">
        <v>2</v>
      </c>
      <c r="J38" s="4"/>
      <c r="K38" s="5">
        <f t="shared" si="6"/>
        <v>11.079999999999998</v>
      </c>
      <c r="L38" s="5">
        <f t="shared" si="7"/>
        <v>1.04</v>
      </c>
      <c r="M38" s="5">
        <f t="shared" si="8"/>
        <v>2</v>
      </c>
    </row>
    <row r="39" spans="2:13" x14ac:dyDescent="0.2">
      <c r="B39" s="1">
        <v>5</v>
      </c>
      <c r="C39" s="1">
        <v>4</v>
      </c>
      <c r="D39" s="5">
        <v>2</v>
      </c>
      <c r="J39" s="4"/>
      <c r="K39" s="5">
        <f t="shared" si="6"/>
        <v>9.2799999999999994</v>
      </c>
      <c r="L39" s="5">
        <f t="shared" si="7"/>
        <v>9.64</v>
      </c>
      <c r="M39" s="5">
        <f t="shared" si="8"/>
        <v>1</v>
      </c>
    </row>
    <row r="44" spans="2:13" x14ac:dyDescent="0.2">
      <c r="F44" s="3"/>
      <c r="G44" s="3">
        <v>1</v>
      </c>
      <c r="H44" s="3">
        <v>2</v>
      </c>
    </row>
    <row r="45" spans="2:13" x14ac:dyDescent="0.2">
      <c r="F45" s="3" t="s">
        <v>9</v>
      </c>
      <c r="G45" s="1">
        <f>AVERAGEIF(M30:M39, "=1",B30:B39)</f>
        <v>4</v>
      </c>
      <c r="H45" s="1">
        <f>AVERAGEIF(M30:M39, "=2", B30:B39)</f>
        <v>1.25</v>
      </c>
    </row>
    <row r="46" spans="2:13" x14ac:dyDescent="0.2">
      <c r="F46" s="3" t="s">
        <v>8</v>
      </c>
      <c r="G46" s="1">
        <f>AVERAGEIF(M30:M39, "=1", C30:C39)</f>
        <v>1.6666666666666667</v>
      </c>
      <c r="H46" s="1">
        <f>AVERAGEIF(M30:M39, "=2", C30:C39)</f>
        <v>3</v>
      </c>
    </row>
  </sheetData>
  <mergeCells count="5">
    <mergeCell ref="B1:C1"/>
    <mergeCell ref="D1:K1"/>
    <mergeCell ref="O2:P2"/>
    <mergeCell ref="O3:T3"/>
    <mergeCell ref="O4:S4"/>
  </mergeCells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512b3-b280-4898-a8a5-1adb2eeeef19">
      <Terms xmlns="http://schemas.microsoft.com/office/infopath/2007/PartnerControls"/>
    </lcf76f155ced4ddcb4097134ff3c332f>
    <TaxCatchAll xmlns="dd798dc3-c7ab-47ef-8691-58fe5f480d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0074D404D5EC49A9DFA0B0004E1DCB" ma:contentTypeVersion="16" ma:contentTypeDescription="Create a new document." ma:contentTypeScope="" ma:versionID="b3ce1a875b77022eff68c2736d047dd7">
  <xsd:schema xmlns:xsd="http://www.w3.org/2001/XMLSchema" xmlns:xs="http://www.w3.org/2001/XMLSchema" xmlns:p="http://schemas.microsoft.com/office/2006/metadata/properties" xmlns:ns2="1e5512b3-b280-4898-a8a5-1adb2eeeef19" xmlns:ns3="dd798dc3-c7ab-47ef-8691-58fe5f480d73" targetNamespace="http://schemas.microsoft.com/office/2006/metadata/properties" ma:root="true" ma:fieldsID="7be1d173f55e2c4c979bda0195af9c1c" ns2:_="" ns3:_="">
    <xsd:import namespace="1e5512b3-b280-4898-a8a5-1adb2eeeef19"/>
    <xsd:import namespace="dd798dc3-c7ab-47ef-8691-58fe5f480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512b3-b280-4898-a8a5-1adb2eeeef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98dc3-c7ab-47ef-8691-58fe5f480d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ca3c4b9-d600-4a1e-b489-cbea56a0ef0f}" ma:internalName="TaxCatchAll" ma:showField="CatchAllData" ma:web="dd798dc3-c7ab-47ef-8691-58fe5f480d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EA7D3C-53BA-4BA3-A6E0-424D529F215E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dd798dc3-c7ab-47ef-8691-58fe5f480d73"/>
    <ds:schemaRef ds:uri="1e5512b3-b280-4898-a8a5-1adb2eeeef19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37E0E8B-5476-4027-8394-B09EAA86D5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D451DD-B1BB-4DF2-9B12-2B97C3AC43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5512b3-b280-4898-a8a5-1adb2eeeef19"/>
    <ds:schemaRef ds:uri="dd798dc3-c7ab-47ef-8691-58fe5f480d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 Natarajan</dc:creator>
  <cp:lastModifiedBy>Lee Kai Rong</cp:lastModifiedBy>
  <dcterms:created xsi:type="dcterms:W3CDTF">2022-03-11T07:21:35Z</dcterms:created>
  <dcterms:modified xsi:type="dcterms:W3CDTF">2026-03-16T04:49:56Z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0x010100C70074D404D5EC49A9DFA0B0004E1DCB</vt:lpwstr>
  </property>
  <property fmtid="{D5CDD505-2E9C-101B-9397-08002B2CF9AE}" pid="3" name="MediaServiceImageTags">
    <vt:lpwstr/>
  </property>
</Properties>
</file>